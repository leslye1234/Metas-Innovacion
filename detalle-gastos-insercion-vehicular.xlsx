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talle de Gast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<sst xmlns="http://schemas.openxmlformats.org/spreadsheetml/2006/main" count="44" uniqueCount="44">
  <si>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Iniciativa de Insercion Vehicular - Detalle de Gastos para OC</t>
  </si>
  <si>
    <t xml:space="preserve">Horizonte: 2.5 meses (75 dias). Escenario que va al documento: 10,000 registros.</t>
  </si>
  <si>
    <t xml:space="preserve">Leyenda:</t>
  </si>
  <si>
    <t xml:space="preserve">Celda editable</t>
  </si>
  <si>
    <t xml:space="preserve">Celda calculada</t>
  </si>
  <si>
    <t xml:space="preserve">SUPUESTOS</t>
  </si>
  <si>
    <t xml:space="preserve">Costo plataforma por registro (US$)</t>
  </si>
  <si>
    <t xml:space="preserve">Marketing digital por registro objetivo (US$) - SUPUESTO</t>
  </si>
  <si>
    <t xml:space="preserve">Bono diario equipo de volanteo (S/) - dato reunion Rodrigo</t>
  </si>
  <si>
    <t xml:space="preserve">Dias que trabaja el equipo por mes</t>
  </si>
  <si>
    <t xml:space="preserve">Meses de ejecucion</t>
  </si>
  <si>
    <t xml:space="preserve">Tipo de cambio (S/ por US$) - SUPUESTO</t>
  </si>
  <si>
    <t xml:space="preserve">IGV</t>
  </si>
  <si>
    <t xml:space="preserve">DETALLE POR ESCENARIO</t>
  </si>
  <si>
    <t xml:space="preserve">Concepto</t>
  </si>
  <si>
    <t xml:space="preserve">Calculo</t>
  </si>
  <si>
    <t xml:space="preserve">Escenario 5,000 registros</t>
  </si>
  <si>
    <t xml:space="preserve">Escenario 10,000 registros</t>
  </si>
  <si>
    <t xml:space="preserve">Registros objetivo</t>
  </si>
  <si>
    <t xml:space="preserve">Meta de registros del escenario</t>
  </si>
  <si>
    <t xml:space="preserve">1. Plataforma de registros</t>
  </si>
  <si>
    <t xml:space="preserve">Registros x costo por registro</t>
  </si>
  <si>
    <t xml:space="preserve">2. Marketing digital</t>
  </si>
  <si>
    <t xml:space="preserve">Registros x presupuesto por registro (amplia la bolsa de recursos)</t>
  </si>
  <si>
    <t xml:space="preserve">3. Volanteo (en S/)</t>
  </si>
  <si>
    <t xml:space="preserve">Bono diario x dias/mes x meses</t>
  </si>
  <si>
    <t xml:space="preserve">3. Volanteo (en US$)</t>
  </si>
  <si>
    <t xml:space="preserve">Monto en S/ / tipo de cambio</t>
  </si>
  <si>
    <t xml:space="preserve">VALOR NETO (sin IGV)</t>
  </si>
  <si>
    <t xml:space="preserve">1 + 2 + 3</t>
  </si>
  <si>
    <t xml:space="preserve">IGV 18%</t>
  </si>
  <si>
    <t xml:space="preserve">Valor neto x IGV</t>
  </si>
  <si>
    <t xml:space="preserve">TOTAL CON IGV</t>
  </si>
  <si>
    <t xml:space="preserve">Valor neto + IGV</t>
  </si>
  <si>
    <t xml:space="preserve">PARTICIPACION DE CADA GASTO (escenario 10,000)</t>
  </si>
  <si>
    <t xml:space="preserve">Plataforma de registros</t>
  </si>
  <si>
    <t xml:space="preserve">Marketing digital</t>
  </si>
  <si>
    <t xml:space="preserve">Volanteo</t>
  </si>
  <si>
    <t xml:space="preserve">Costo por registro total (US$, sin IGV)</t>
  </si>
  <si>
    <t xml:space="preserve">Notas:</t>
  </si>
  <si>
    <t xml:space="preserve">- Plataforma: 10,000 registros x US$ 0.80 = US$ 8,000 (dato de la reunion). Si se amplia la meta, solo cambia la fila 'Registros objetivo'.</t>
  </si>
  <si>
    <t xml:space="preserve">- Marketing digital: presupuesto para ampliar la bolsa de recursos y captar registros; aunque parte de los registros llegue por otros canales, se reserva el monto. US$ 0.50/registro es un SUPUESTO: reemplazalo por el monto real.</t>
  </si>
  <si>
    <t xml:space="preserve">- Volanteo: pago del servicio del equipo de campo (bono de equipo S/150/dia, rango negociado S/120-160) durante 2.5 meses. No depende del numero de registros.</t>
  </si>
  <si>
    <t xml:space="preserve">- El monto de la OC es un tope: si no se ejecuta todo, no se gasta. El documento de justificacion usa el escenario de 10,000 registros.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</si>
</sst>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US$ &quot;#,##0.00"/>
    <numFmt numFmtId="166" formatCode="&quot;S/ &quot;#,##0.00"/>
    <numFmt numFmtId="167" formatCode="0"/>
    <numFmt numFmtId="168" formatCode="0.0"/>
    <numFmt numFmtId="169" formatCode="0.00"/>
    <numFmt numFmtId="170" formatCode="0%"/>
    <numFmt numFmtId="171" formatCode="#,##0"/>
    <numFmt numFmtId="172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4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  <c r="B3" s="2" t="s">
        <v>3</v>
      </c>
      <c r="C3" s="3" t="s">
        <v>4</v>
      </c>
    </row>
    <row r="5" customFormat="false" ht="15" hidden="false" customHeight="false" outlineLevel="0" collapsed="false">
      <c r="A5" s="4" t="s">
        <v>5</v>
      </c>
    </row>
    <row r="6" customFormat="false" ht="15" hidden="false" customHeight="false" outlineLevel="0" collapsed="false">
      <c r="A6" s="0" t="s">
        <v>6</v>
      </c>
      <c r="B6" s="5" t="n">
        <v>0.8</v>
      </c>
    </row>
    <row r="7" customFormat="false" ht="15" hidden="false" customHeight="false" outlineLevel="0" collapsed="false">
      <c r="A7" s="0" t="s">
        <v>7</v>
      </c>
      <c r="B7" s="5" t="n">
        <v>0.5</v>
      </c>
    </row>
    <row r="8" customFormat="false" ht="15" hidden="false" customHeight="false" outlineLevel="0" collapsed="false">
      <c r="A8" s="0" t="s">
        <v>8</v>
      </c>
      <c r="B8" s="6" t="n">
        <v>150</v>
      </c>
    </row>
    <row r="9" customFormat="false" ht="15" hidden="false" customHeight="false" outlineLevel="0" collapsed="false">
      <c r="A9" s="0" t="s">
        <v>9</v>
      </c>
      <c r="B9" s="7" t="n">
        <v>26</v>
      </c>
    </row>
    <row r="10" customFormat="false" ht="15" hidden="false" customHeight="false" outlineLevel="0" collapsed="false">
      <c r="A10" s="0" t="s">
        <v>10</v>
      </c>
      <c r="B10" s="8" t="n">
        <v>2.5</v>
      </c>
    </row>
    <row r="11" customFormat="false" ht="15" hidden="false" customHeight="false" outlineLevel="0" collapsed="false">
      <c r="A11" s="0" t="s">
        <v>11</v>
      </c>
      <c r="B11" s="9" t="n">
        <v>3.4</v>
      </c>
    </row>
    <row r="12" customFormat="false" ht="15" hidden="false" customHeight="false" outlineLevel="0" collapsed="false">
      <c r="A12" s="0" t="s">
        <v>12</v>
      </c>
      <c r="B12" s="10" t="n">
        <v>0.18</v>
      </c>
    </row>
    <row r="14" customFormat="false" ht="15" hidden="false" customHeight="false" outlineLevel="0" collapsed="false">
      <c r="A14" s="4" t="s">
        <v>13</v>
      </c>
    </row>
    <row r="15" customFormat="false" ht="31.5" hidden="false" customHeight="true" outlineLevel="0" collapsed="false">
      <c r="A15" s="11" t="s">
        <v>14</v>
      </c>
      <c r="B15" s="11" t="s">
        <v>15</v>
      </c>
      <c r="C15" s="11" t="s">
        <v>16</v>
      </c>
      <c r="D15" s="11" t="s">
        <v>17</v>
      </c>
    </row>
    <row r="16" customFormat="false" ht="15" hidden="false" customHeight="false" outlineLevel="0" collapsed="false">
      <c r="A16" s="12" t="s">
        <v>18</v>
      </c>
      <c r="B16" s="12" t="s">
        <v>19</v>
      </c>
      <c r="C16" s="13" t="n">
        <v>5000</v>
      </c>
      <c r="D16" s="13" t="n">
        <v>10000</v>
      </c>
    </row>
    <row r="17" customFormat="false" ht="15" hidden="false" customHeight="false" outlineLevel="0" collapsed="false">
      <c r="A17" s="12" t="s">
        <v>20</v>
      </c>
      <c r="B17" s="12" t="s">
        <v>21</v>
      </c>
      <c r="C17" s="14" t="n">
        <f aca="false">C16*$B$6</f>
        <v>4000</v>
      </c>
      <c r="D17" s="14" t="n">
        <f aca="false">D16*$B$6</f>
        <v>8000</v>
      </c>
    </row>
    <row r="18" customFormat="false" ht="15" hidden="false" customHeight="false" outlineLevel="0" collapsed="false">
      <c r="A18" s="12" t="s">
        <v>22</v>
      </c>
      <c r="B18" s="12" t="s">
        <v>23</v>
      </c>
      <c r="C18" s="14" t="n">
        <f aca="false">C16*$B$7</f>
        <v>2500</v>
      </c>
      <c r="D18" s="14" t="n">
        <f aca="false">D16*$B$7</f>
        <v>5000</v>
      </c>
    </row>
    <row r="19" customFormat="false" ht="15" hidden="false" customHeight="false" outlineLevel="0" collapsed="false">
      <c r="A19" s="12" t="s">
        <v>24</v>
      </c>
      <c r="B19" s="12" t="s">
        <v>25</v>
      </c>
      <c r="C19" s="15" t="n">
        <f aca="false">$B$8*$B$9*$B$10</f>
        <v>9750</v>
      </c>
      <c r="D19" s="15" t="n">
        <f aca="false">$B$8*$B$9*$B$10</f>
        <v>9750</v>
      </c>
    </row>
    <row r="20" customFormat="false" ht="15" hidden="false" customHeight="false" outlineLevel="0" collapsed="false">
      <c r="A20" s="12" t="s">
        <v>26</v>
      </c>
      <c r="B20" s="12" t="s">
        <v>27</v>
      </c>
      <c r="C20" s="14" t="n">
        <f aca="false">C19/$B$11</f>
        <v>2867.64705882353</v>
      </c>
      <c r="D20" s="14" t="n">
        <f aca="false">D19/$B$11</f>
        <v>2867.64705882353</v>
      </c>
    </row>
    <row r="21" customFormat="false" ht="15" hidden="false" customHeight="false" outlineLevel="0" collapsed="false">
      <c r="A21" s="16" t="s">
        <v>28</v>
      </c>
      <c r="B21" s="16" t="s">
        <v>29</v>
      </c>
      <c r="C21" s="17" t="n">
        <f aca="false">C17+C18+C20</f>
        <v>9367.64705882353</v>
      </c>
      <c r="D21" s="17" t="n">
        <f aca="false">D17+D18+D20</f>
        <v>15867.6470588235</v>
      </c>
    </row>
    <row r="22" customFormat="false" ht="15" hidden="false" customHeight="false" outlineLevel="0" collapsed="false">
      <c r="A22" s="12" t="s">
        <v>30</v>
      </c>
      <c r="B22" s="12" t="s">
        <v>31</v>
      </c>
      <c r="C22" s="14" t="n">
        <f aca="false">C21*$B$12</f>
        <v>1686.17647058824</v>
      </c>
      <c r="D22" s="14" t="n">
        <f aca="false">D21*$B$12</f>
        <v>2856.17647058824</v>
      </c>
    </row>
    <row r="23" customFormat="false" ht="15" hidden="false" customHeight="false" outlineLevel="0" collapsed="false">
      <c r="A23" s="16" t="s">
        <v>32</v>
      </c>
      <c r="B23" s="16" t="s">
        <v>33</v>
      </c>
      <c r="C23" s="17" t="n">
        <f aca="false">C21+C22</f>
        <v>11053.8235294118</v>
      </c>
      <c r="D23" s="17" t="n">
        <f aca="false">D21+D22</f>
        <v>18723.8235294118</v>
      </c>
    </row>
    <row r="25" customFormat="false" ht="15" hidden="false" customHeight="false" outlineLevel="0" collapsed="false">
      <c r="A25" s="4" t="s">
        <v>34</v>
      </c>
    </row>
    <row r="26" customFormat="false" ht="15" hidden="false" customHeight="false" outlineLevel="0" collapsed="false">
      <c r="A26" s="0" t="s">
        <v>35</v>
      </c>
      <c r="C26" s="18" t="n">
        <f aca="false">D17</f>
        <v>8000</v>
      </c>
      <c r="D26" s="19" t="n">
        <f aca="false">D17/$D$21</f>
        <v>0.504170528266914</v>
      </c>
    </row>
    <row r="27" customFormat="false" ht="15" hidden="false" customHeight="false" outlineLevel="0" collapsed="false">
      <c r="A27" s="0" t="s">
        <v>36</v>
      </c>
      <c r="C27" s="18" t="n">
        <f aca="false">D18</f>
        <v>5000</v>
      </c>
      <c r="D27" s="19" t="n">
        <f aca="false">D18/$D$21</f>
        <v>0.315106580166821</v>
      </c>
    </row>
    <row r="28" customFormat="false" ht="15" hidden="false" customHeight="false" outlineLevel="0" collapsed="false">
      <c r="A28" s="0" t="s">
        <v>37</v>
      </c>
      <c r="C28" s="18" t="n">
        <f aca="false">D20</f>
        <v>2867.64705882353</v>
      </c>
      <c r="D28" s="19" t="n">
        <f aca="false">D20/$D$21</f>
        <v>0.180722891566265</v>
      </c>
    </row>
    <row r="30" customFormat="false" ht="15" hidden="false" customHeight="false" outlineLevel="0" collapsed="false">
      <c r="A30" s="0" t="s">
        <v>38</v>
      </c>
      <c r="C30" s="18" t="n">
        <f aca="false">C21/C16</f>
        <v>1.87352941176471</v>
      </c>
      <c r="D30" s="18" t="n">
        <f aca="false">D21/D16</f>
        <v>1.58676470588235</v>
      </c>
    </row>
    <row r="32" customFormat="false" ht="15" hidden="false" customHeight="false" outlineLevel="0" collapsed="false">
      <c r="A32" s="4" t="s">
        <v>39</v>
      </c>
    </row>
    <row r="33" customFormat="false" ht="31.5" hidden="false" customHeight="true" outlineLevel="0" collapsed="false">
      <c r="A33" s="20" t="s">
        <v>40</v>
      </c>
      <c r="B33" s="20"/>
      <c r="C33" s="20"/>
      <c r="D33" s="20"/>
    </row>
    <row r="34" customFormat="false" ht="31.5" hidden="false" customHeight="true" outlineLevel="0" collapsed="false">
      <c r="A34" s="20" t="s">
        <v>41</v>
      </c>
      <c r="B34" s="20"/>
      <c r="C34" s="20"/>
      <c r="D34" s="20"/>
    </row>
    <row r="35" customFormat="false" ht="31.5" hidden="false" customHeight="true" outlineLevel="0" collapsed="false">
      <c r="A35" s="20" t="s">
        <v>42</v>
      </c>
      <c r="B35" s="20"/>
      <c r="C35" s="20"/>
      <c r="D35" s="20"/>
    </row>
    <row r="36" customFormat="false" ht="31.5" hidden="false" customHeight="true" outlineLevel="0" collapsed="false">
      <c r="A36" s="20" t="s">
        <v>43</v>
      </c>
      <c r="B36" s="20"/>
      <c r="C36" s="20"/>
      <c r="D36" s="20"/>
    </row>
  </sheetData>
  <mergeCells count="4">
    <mergeCell ref="A33:D33"/>
    <mergeCell ref="A34:D34"/>
    <mergeCell ref="A35:D35"/>
    <mergeCell ref="A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2026-10-19T21:51:34Z</dcterms:created>
  <dc:creator>openpyxl</dc:creator>
  <dc:description/>
  <dc:language>en-US</dc:language>
  <cp:lastModifiedBy/>
  <dcterms:modified xsi:type="dcterms:W3CDTF">2026-10-19T21:51:34Z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