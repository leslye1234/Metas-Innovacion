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alle de Ga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<sst xmlns="http://schemas.openxmlformats.org/spreadsheetml/2006/main" count="43" uniqueCount="43">
  <si>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Ampliacion de OC - ESTRATEK S.A.S. SUCURSAL DEL PERU - Iniciativa de Insercion Vehicular</t>
  </si>
  <si>
    <t xml:space="preserve">Sustento del monto de la ampliacion (S/ 27,000 sin IGV) para 75 dias (2.5 meses).</t>
  </si>
  <si>
    <t xml:space="preserve">Leyenda:</t>
  </si>
  <si>
    <t xml:space="preserve">Celda editable</t>
  </si>
  <si>
    <t xml:space="preserve">Celda calculada</t>
  </si>
  <si>
    <t xml:space="preserve">SUPUESTOS</t>
  </si>
  <si>
    <t xml:space="preserve">Monto de la ampliacion de OC (S/, sin IGV)</t>
  </si>
  <si>
    <t xml:space="preserve">Registros objetivo</t>
  </si>
  <si>
    <t xml:space="preserve">Costo plataforma por registro (US$, incluye conversaciones del chatbot)</t>
  </si>
  <si>
    <t xml:space="preserve">Tipo de cambio (S/ por US$) - SUPUESTO</t>
  </si>
  <si>
    <t xml:space="preserve">Bono diario equipo de volanteo (S/)</t>
  </si>
  <si>
    <t xml:space="preserve">Dias que trabaja el equipo por mes</t>
  </si>
  <si>
    <t xml:space="preserve">Meses de ejecucion</t>
  </si>
  <si>
    <t xml:space="preserve">IGV</t>
  </si>
  <si>
    <t xml:space="preserve">DETALLE DE GASTOS</t>
  </si>
  <si>
    <t xml:space="preserve">Componente</t>
  </si>
  <si>
    <t xml:space="preserve">Calculo</t>
  </si>
  <si>
    <t xml:space="preserve">Monto (S/)</t>
  </si>
  <si>
    <t xml:space="preserve">% del total</t>
  </si>
  <si>
    <t xml:space="preserve">1. Plataforma de registros y chatbot</t>
  </si>
  <si>
    <t xml:space="preserve">Registros x US$ 0.80 x tipo de cambio</t>
  </si>
  <si>
    <t xml:space="preserve">2. Volanteo en campo</t>
  </si>
  <si>
    <t xml:space="preserve">Bono diario x dias/mes x meses</t>
  </si>
  <si>
    <t xml:space="preserve">3. Marketing digital</t>
  </si>
  <si>
    <t xml:space="preserve">Saldo del monto para campanas de captacion</t>
  </si>
  <si>
    <t xml:space="preserve">VALOR NETO (sin IGV)</t>
  </si>
  <si>
    <t xml:space="preserve">1 + 2 + 3</t>
  </si>
  <si>
    <t xml:space="preserve">IGV 18%</t>
  </si>
  <si>
    <t xml:space="preserve">Valor neto x IGV</t>
  </si>
  <si>
    <t xml:space="preserve">TOTAL CON IGV</t>
  </si>
  <si>
    <t xml:space="preserve">Valor neto + IGV</t>
  </si>
  <si>
    <t xml:space="preserve">CONTROLES</t>
  </si>
  <si>
    <t xml:space="preserve">Plataforma en US$</t>
  </si>
  <si>
    <t xml:space="preserve">Marketing digital por registro (S/)</t>
  </si>
  <si>
    <t xml:space="preserve">Costo total por registro (S/, sin IGV)</t>
  </si>
  <si>
    <t xml:space="preserve">Maximo de registros que cubre el monto (si marketing = 0)</t>
  </si>
  <si>
    <t xml:space="preserve">Validacion</t>
  </si>
  <si>
    <t xml:space="preserve">Notas:</t>
  </si>
  <si>
    <t xml:space="preserve">- ESTRATEK S.A.S. SUCURSAL DEL PERU es el proveedor de la OC: ejecuta la iniciativa de forma integral y coordina a sus aliados especializados. Se emite una sola factura a Calidda.</t>
  </si>
  <si>
    <t xml:space="preserve">- Plataforma: US$ 0.80 por registro, que incluye las conversaciones del chatbot con el conductor. Se paga solo por registro obtenido.</t>
  </si>
  <si>
    <t xml:space="preserve">- Volanteo: bono de equipo de S/ 150/dia (rango negociado S/ 120-160) durante 2.5 meses. No depende del numero de registros.</t>
  </si>
  <si>
    <t xml:space="preserve">- Marketing digital: es el saldo del monto de la ampliacion. Si cambian los registros o el tipo de cambio, se recalcula solo.</t>
  </si>
  <si>
    <t xml:space="preserve">- El monto es un tope: si no se llega a los registros objetivo, no se ejecuta todo el gasto.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</si>
</sst>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S/ &quot;#,##0.00"/>
    <numFmt numFmtId="166" formatCode="#,##0"/>
    <numFmt numFmtId="167" formatCode="&quot;US$ &quot;#,##0.00"/>
    <numFmt numFmtId="168" formatCode="0.00"/>
    <numFmt numFmtId="169" formatCode="0"/>
    <numFmt numFmtId="170" formatCode="0.0"/>
    <numFmt numFmtId="171" formatCode="0%"/>
    <numFmt numFmtId="172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2" t="s">
        <v>3</v>
      </c>
      <c r="C3" s="3" t="s">
        <v>4</v>
      </c>
    </row>
    <row r="5" customFormat="false" ht="15" hidden="false" customHeight="false" outlineLevel="0" collapsed="false">
      <c r="A5" s="4" t="s">
        <v>5</v>
      </c>
    </row>
    <row r="6" customFormat="false" ht="15" hidden="false" customHeight="false" outlineLevel="0" collapsed="false">
      <c r="A6" s="0" t="s">
        <v>6</v>
      </c>
      <c r="B6" s="5" t="n">
        <v>27000</v>
      </c>
    </row>
    <row r="7" customFormat="false" ht="15" hidden="false" customHeight="false" outlineLevel="0" collapsed="false">
      <c r="A7" s="0" t="s">
        <v>7</v>
      </c>
      <c r="B7" s="6" t="n">
        <v>5000</v>
      </c>
    </row>
    <row r="8" customFormat="false" ht="15" hidden="false" customHeight="false" outlineLevel="0" collapsed="false">
      <c r="A8" s="0" t="s">
        <v>8</v>
      </c>
      <c r="B8" s="7" t="n">
        <v>0.8</v>
      </c>
    </row>
    <row r="9" customFormat="false" ht="15" hidden="false" customHeight="false" outlineLevel="0" collapsed="false">
      <c r="A9" s="0" t="s">
        <v>9</v>
      </c>
      <c r="B9" s="8" t="n">
        <v>3.4</v>
      </c>
    </row>
    <row r="10" customFormat="false" ht="15" hidden="false" customHeight="false" outlineLevel="0" collapsed="false">
      <c r="A10" s="0" t="s">
        <v>10</v>
      </c>
      <c r="B10" s="5" t="n">
        <v>150</v>
      </c>
    </row>
    <row r="11" customFormat="false" ht="15" hidden="false" customHeight="false" outlineLevel="0" collapsed="false">
      <c r="A11" s="0" t="s">
        <v>11</v>
      </c>
      <c r="B11" s="9" t="n">
        <v>26</v>
      </c>
    </row>
    <row r="12" customFormat="false" ht="15" hidden="false" customHeight="false" outlineLevel="0" collapsed="false">
      <c r="A12" s="0" t="s">
        <v>12</v>
      </c>
      <c r="B12" s="10" t="n">
        <v>2.5</v>
      </c>
    </row>
    <row r="13" customFormat="false" ht="15" hidden="false" customHeight="false" outlineLevel="0" collapsed="false">
      <c r="A13" s="0" t="s">
        <v>13</v>
      </c>
      <c r="B13" s="11" t="n">
        <v>0.18</v>
      </c>
    </row>
    <row r="15" customFormat="false" ht="15" hidden="false" customHeight="false" outlineLevel="0" collapsed="false">
      <c r="A15" s="4" t="s">
        <v>14</v>
      </c>
    </row>
    <row r="16" customFormat="false" ht="15" hidden="false" customHeight="false" outlineLevel="0" collapsed="false">
      <c r="A16" s="12" t="s">
        <v>15</v>
      </c>
      <c r="B16" s="12" t="s">
        <v>16</v>
      </c>
      <c r="C16" s="12" t="s">
        <v>17</v>
      </c>
      <c r="D16" s="12" t="s">
        <v>18</v>
      </c>
    </row>
    <row r="17" customFormat="false" ht="15" hidden="false" customHeight="false" outlineLevel="0" collapsed="false">
      <c r="A17" s="13" t="s">
        <v>19</v>
      </c>
      <c r="B17" s="13" t="s">
        <v>20</v>
      </c>
      <c r="C17" s="14" t="n">
        <f aca="false">B7*B8*B9</f>
        <v>13600</v>
      </c>
      <c r="D17" s="15" t="n">
        <f aca="false">C17/$C$20</f>
        <v>0.503703703703704</v>
      </c>
    </row>
    <row r="18" customFormat="false" ht="15" hidden="false" customHeight="false" outlineLevel="0" collapsed="false">
      <c r="A18" s="13" t="s">
        <v>21</v>
      </c>
      <c r="B18" s="13" t="s">
        <v>22</v>
      </c>
      <c r="C18" s="14" t="n">
        <f aca="false">B10*B11*B12</f>
        <v>9750</v>
      </c>
      <c r="D18" s="15" t="n">
        <f aca="false">C18/$C$20</f>
        <v>0.361111111111111</v>
      </c>
    </row>
    <row r="19" customFormat="false" ht="15" hidden="false" customHeight="false" outlineLevel="0" collapsed="false">
      <c r="A19" s="13" t="s">
        <v>23</v>
      </c>
      <c r="B19" s="13" t="s">
        <v>24</v>
      </c>
      <c r="C19" s="14" t="n">
        <f aca="false">B6-C17-C18</f>
        <v>3650</v>
      </c>
      <c r="D19" s="15" t="n">
        <f aca="false">C19/$C$20</f>
        <v>0.135185185185185</v>
      </c>
    </row>
    <row r="20" customFormat="false" ht="15" hidden="false" customHeight="false" outlineLevel="0" collapsed="false">
      <c r="A20" s="16" t="s">
        <v>25</v>
      </c>
      <c r="B20" s="16" t="s">
        <v>26</v>
      </c>
      <c r="C20" s="17" t="n">
        <f aca="false">C17+C18+C19</f>
        <v>27000</v>
      </c>
      <c r="D20" s="18" t="n">
        <f aca="false">C20/$C$20</f>
        <v>1</v>
      </c>
    </row>
    <row r="21" customFormat="false" ht="15" hidden="false" customHeight="false" outlineLevel="0" collapsed="false">
      <c r="A21" s="16" t="s">
        <v>27</v>
      </c>
      <c r="B21" s="16" t="s">
        <v>28</v>
      </c>
      <c r="C21" s="17" t="n">
        <f aca="false">C20*B13</f>
        <v>4860</v>
      </c>
      <c r="D21" s="16"/>
    </row>
    <row r="22" customFormat="false" ht="15" hidden="false" customHeight="false" outlineLevel="0" collapsed="false">
      <c r="A22" s="16" t="s">
        <v>29</v>
      </c>
      <c r="B22" s="16" t="s">
        <v>30</v>
      </c>
      <c r="C22" s="17" t="n">
        <f aca="false">C20+C21</f>
        <v>31860</v>
      </c>
      <c r="D22" s="16"/>
    </row>
    <row r="24" customFormat="false" ht="15" hidden="false" customHeight="false" outlineLevel="0" collapsed="false">
      <c r="A24" s="4" t="s">
        <v>31</v>
      </c>
    </row>
    <row r="25" customFormat="false" ht="15" hidden="false" customHeight="false" outlineLevel="0" collapsed="false">
      <c r="A25" s="0" t="s">
        <v>32</v>
      </c>
      <c r="C25" s="19" t="n">
        <f aca="false">B7*B8</f>
        <v>4000</v>
      </c>
    </row>
    <row r="26" customFormat="false" ht="15" hidden="false" customHeight="false" outlineLevel="0" collapsed="false">
      <c r="A26" s="0" t="s">
        <v>33</v>
      </c>
      <c r="C26" s="20" t="n">
        <f aca="false">C19/B7</f>
        <v>0.73</v>
      </c>
    </row>
    <row r="27" customFormat="false" ht="15" hidden="false" customHeight="false" outlineLevel="0" collapsed="false">
      <c r="A27" s="0" t="s">
        <v>34</v>
      </c>
      <c r="C27" s="20" t="n">
        <f aca="false">C20/B7</f>
        <v>5.4</v>
      </c>
    </row>
    <row r="28" customFormat="false" ht="15" hidden="false" customHeight="false" outlineLevel="0" collapsed="false">
      <c r="A28" s="0" t="s">
        <v>35</v>
      </c>
      <c r="C28" s="21" t="n">
        <f aca="false">ROUNDDOWN((B6-C18)/(B8*B9),0)</f>
        <v>6341</v>
      </c>
    </row>
    <row r="29" customFormat="false" ht="15" hidden="false" customHeight="false" outlineLevel="0" collapsed="false">
      <c r="A29" s="0" t="s">
        <v>36</v>
      </c>
      <c r="C29" s="3" t="str">
        <f aca="false">IF(C19&lt;0,"El monto no alcanza: baja los registros","OK - el detalle suma el monto de la ampliacion")</f>
        <v>OK - el detalle suma el monto de la ampliacion</v>
      </c>
    </row>
    <row r="31" customFormat="false" ht="15" hidden="false" customHeight="false" outlineLevel="0" collapsed="false">
      <c r="A31" s="4" t="s">
        <v>37</v>
      </c>
    </row>
    <row r="32" customFormat="false" ht="31.5" hidden="false" customHeight="true" outlineLevel="0" collapsed="false">
      <c r="A32" s="22" t="s">
        <v>38</v>
      </c>
      <c r="B32" s="22"/>
      <c r="C32" s="22"/>
      <c r="D32" s="22"/>
    </row>
    <row r="33" customFormat="false" ht="31.5" hidden="false" customHeight="true" outlineLevel="0" collapsed="false">
      <c r="A33" s="22" t="s">
        <v>39</v>
      </c>
      <c r="B33" s="22"/>
      <c r="C33" s="22"/>
      <c r="D33" s="22"/>
    </row>
    <row r="34" customFormat="false" ht="31.5" hidden="false" customHeight="true" outlineLevel="0" collapsed="false">
      <c r="A34" s="22" t="s">
        <v>40</v>
      </c>
      <c r="B34" s="22"/>
      <c r="C34" s="22"/>
      <c r="D34" s="22"/>
    </row>
    <row r="35" customFormat="false" ht="31.5" hidden="false" customHeight="true" outlineLevel="0" collapsed="false">
      <c r="A35" s="22" t="s">
        <v>41</v>
      </c>
      <c r="B35" s="22"/>
      <c r="C35" s="22"/>
      <c r="D35" s="22"/>
    </row>
    <row r="36" customFormat="false" ht="31.5" hidden="false" customHeight="true" outlineLevel="0" collapsed="false">
      <c r="A36" s="22" t="s">
        <v>42</v>
      </c>
      <c r="B36" s="22"/>
      <c r="C36" s="22"/>
      <c r="D36" s="22"/>
    </row>
  </sheetData>
  <mergeCells count="5">
    <mergeCell ref="A32:D32"/>
    <mergeCell ref="A33:D33"/>
    <mergeCell ref="A34:D34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2026-10-19T22:44:40Z</dcterms:created>
  <dc:creator>openpyxl</dc:creator>
  <dc:description/>
  <dc:language>en-US</dc:language>
  <cp:lastModifiedBy/>
  <dcterms:modified xsi:type="dcterms:W3CDTF">2026-10-19T22:44:40Z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