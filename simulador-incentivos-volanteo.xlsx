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calas de Bono" sheetId="1" state="visible" r:id="rId3"/>
    <sheet name="Simulador Mensual" sheetId="2" state="visible" r:id="rId4"/>
    <sheet name="Comparacion Esquema Anterio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<sst xmlns="http://schemas.openxmlformats.org/spreadsheetml/2006/main" count="83" uniqueCount="55">
  <si>
    <t xml:space="preserve">Escalas de Bono - Volanteo</t>
  </si>
  <si>
    <t xml:space="preserve">Leyenda:</t>
  </si>
  <si>
    <t xml:space="preserve">Celda editable (supuesto / parámetro)</t>
  </si>
  <si>
    <t xml:space="preserve">Celda calculada (no editar)</t>
  </si>
  <si>
    <t xml:space="preserve">PERSONAL FIJO (jornada completa)</t>
  </si>
  <si>
    <t xml:space="preserve">Nivel</t>
  </si>
  <si>
    <t xml:space="preserve">Umbral minimo (volanteos validos / mes)</t>
  </si>
  <si>
    <t xml:space="preserve">Bono mensual (S/)</t>
  </si>
  <si>
    <t xml:space="preserve">Sin bono</t>
  </si>
  <si>
    <t xml:space="preserve">Nivel 1 - Cumplimiento</t>
  </si>
  <si>
    <t xml:space="preserve">Nivel 2 - Buen desempeno</t>
  </si>
  <si>
    <t xml:space="preserve">Nivel 3 - Excelencia</t>
  </si>
  <si>
    <t xml:space="preserve">PERSONAL EVENTUAL (horario parcial)</t>
  </si>
  <si>
    <t xml:space="preserve">Nivel 1</t>
  </si>
  <si>
    <t xml:space="preserve">Nivel 2</t>
  </si>
  <si>
    <t xml:space="preserve">Nivel 3</t>
  </si>
  <si>
    <t xml:space="preserve">PRESUPUESTO</t>
  </si>
  <si>
    <t xml:space="preserve">Techo presupuestal mensual del equipo (S/)</t>
  </si>
  <si>
    <t xml:space="preserve">Nota: ajusta los umbrales y montos de bono en las celdas amarillas; el resto del libro se recalcula solo.</t>
  </si>
  <si>
    <t xml:space="preserve">Simulador Mensual de Bonos - Equipo de Volanteo</t>
  </si>
  <si>
    <t xml:space="preserve">Celda editable</t>
  </si>
  <si>
    <t xml:space="preserve">Celda calculada (formula, no editar)</t>
  </si>
  <si>
    <t xml:space="preserve">Nombre / Codigo</t>
  </si>
  <si>
    <t xml:space="preserve">Tipo</t>
  </si>
  <si>
    <t xml:space="preserve">Volanteos validos en el mes</t>
  </si>
  <si>
    <t xml:space="preserve">Cumple consistencia (&gt;=90% dias)</t>
  </si>
  <si>
    <t xml:space="preserve">Nivel alcanzado</t>
  </si>
  <si>
    <t xml:space="preserve">Bono ganado (S/)</t>
  </si>
  <si>
    <t xml:space="preserve">Promotora fija 1 (ejemplo)</t>
  </si>
  <si>
    <t xml:space="preserve">Fijo</t>
  </si>
  <si>
    <t xml:space="preserve">Si</t>
  </si>
  <si>
    <t xml:space="preserve">Promotora fija 2</t>
  </si>
  <si>
    <t xml:space="preserve">Promotora fija 3</t>
  </si>
  <si>
    <t xml:space="preserve">No</t>
  </si>
  <si>
    <t xml:space="preserve">Promotor eventual 1</t>
  </si>
  <si>
    <t xml:space="preserve">Eventual</t>
  </si>
  <si>
    <t xml:space="preserve">Promotor eventual 2</t>
  </si>
  <si>
    <t xml:space="preserve">Promotor eventual 3</t>
  </si>
  <si>
    <t xml:space="preserve">Promotor eventual 4</t>
  </si>
  <si>
    <t xml:space="preserve">Promotor eventual 5</t>
  </si>
  <si>
    <t xml:space="preserve">TOTAL EQUIPO</t>
  </si>
  <si>
    <t xml:space="preserve">Techo presupuestal mensual (S/)</t>
  </si>
  <si>
    <t xml:space="preserve">Diferencia vs. techo (S/)</t>
  </si>
  <si>
    <t xml:space="preserve">Estado del presupuesto</t>
  </si>
  <si>
    <t xml:space="preserve">Comparacion vs. Esquema Anterior (500 volanteos/semana = S/200)</t>
  </si>
  <si>
    <t xml:space="preserve">Supuestos del esquema anterior:</t>
  </si>
  <si>
    <t xml:space="preserve">Bono por 500 volanteos/semana cumplidos (S/)</t>
  </si>
  <si>
    <t xml:space="preserve">Semanas promedio trabajadas al mes</t>
  </si>
  <si>
    <t xml:space="preserve">Cumple 500/semana de forma sostenida?</t>
  </si>
  <si>
    <t xml:space="preserve">Costo mensual - Esquema ANTERIOR (S/)</t>
  </si>
  <si>
    <t xml:space="preserve">Bono ganado - Esquema NUEVO (S/)</t>
  </si>
  <si>
    <t xml:space="preserve">Ahorro / (Sobrecosto) (S/)</t>
  </si>
  <si>
    <t xml:space="preserve">Ahorro mensual estimado con el nuevo esquema (S/)</t>
  </si>
  <si>
    <t xml:space="preserve">Ahorro estimado (%)</t>
  </si>
  <si>
    <t xml:space="preserve">Nota: la columna C ("Cumple 500/semana de forma sostenida?") es un supuesto editable para simular distintos escenarios de cumplimiento del equipo bajo el esquema anterior.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</si>
</sst>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&quot;S/ &quot;#,##0;&quot;(S/ &quot;#,##0\);\-"/>
    <numFmt numFmtId="167" formatCode="#,##0.00;\(#,##0.00\);\-"/>
    <numFmt numFmtId="168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37562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B4" s="4" t="s">
        <v>3</v>
      </c>
    </row>
    <row r="6" customFormat="false" ht="15" hidden="false" customHeight="false" outlineLevel="0" collapsed="false">
      <c r="A6" s="5" t="s">
        <v>4</v>
      </c>
      <c r="B6" s="5"/>
      <c r="C6" s="5"/>
    </row>
    <row r="7" customFormat="false" ht="26.85" hidden="false" customHeight="false" outlineLevel="0" collapsed="false">
      <c r="A7" s="6" t="s">
        <v>5</v>
      </c>
      <c r="B7" s="6" t="s">
        <v>6</v>
      </c>
      <c r="C7" s="6" t="s">
        <v>7</v>
      </c>
    </row>
    <row r="8" customFormat="false" ht="15" hidden="false" customHeight="false" outlineLevel="0" collapsed="false">
      <c r="A8" s="7" t="s">
        <v>8</v>
      </c>
      <c r="B8" s="8" t="n">
        <v>0</v>
      </c>
      <c r="C8" s="9" t="n">
        <v>0</v>
      </c>
    </row>
    <row r="9" customFormat="false" ht="15" hidden="false" customHeight="false" outlineLevel="0" collapsed="false">
      <c r="A9" s="7" t="s">
        <v>9</v>
      </c>
      <c r="B9" s="8" t="n">
        <v>2000</v>
      </c>
      <c r="C9" s="9" t="n">
        <v>80</v>
      </c>
    </row>
    <row r="10" customFormat="false" ht="15" hidden="false" customHeight="false" outlineLevel="0" collapsed="false">
      <c r="A10" s="7" t="s">
        <v>10</v>
      </c>
      <c r="B10" s="8" t="n">
        <v>2300</v>
      </c>
      <c r="C10" s="9" t="n">
        <v>130</v>
      </c>
    </row>
    <row r="11" customFormat="false" ht="15" hidden="false" customHeight="false" outlineLevel="0" collapsed="false">
      <c r="A11" s="7" t="s">
        <v>11</v>
      </c>
      <c r="B11" s="8" t="n">
        <v>2600</v>
      </c>
      <c r="C11" s="9" t="n">
        <v>200</v>
      </c>
    </row>
    <row r="14" customFormat="false" ht="15" hidden="false" customHeight="false" outlineLevel="0" collapsed="false">
      <c r="A14" s="5" t="s">
        <v>12</v>
      </c>
      <c r="B14" s="5"/>
      <c r="C14" s="5"/>
    </row>
    <row r="15" customFormat="false" ht="26.85" hidden="false" customHeight="false" outlineLevel="0" collapsed="false">
      <c r="A15" s="6" t="s">
        <v>5</v>
      </c>
      <c r="B15" s="6" t="s">
        <v>6</v>
      </c>
      <c r="C15" s="6" t="s">
        <v>7</v>
      </c>
    </row>
    <row r="16" customFormat="false" ht="15" hidden="false" customHeight="false" outlineLevel="0" collapsed="false">
      <c r="A16" s="7" t="s">
        <v>8</v>
      </c>
      <c r="B16" s="8" t="n">
        <v>0</v>
      </c>
      <c r="C16" s="9" t="n">
        <v>0</v>
      </c>
    </row>
    <row r="17" customFormat="false" ht="15" hidden="false" customHeight="false" outlineLevel="0" collapsed="false">
      <c r="A17" s="7" t="s">
        <v>13</v>
      </c>
      <c r="B17" s="8" t="n">
        <v>1000</v>
      </c>
      <c r="C17" s="9" t="n">
        <v>40</v>
      </c>
    </row>
    <row r="18" customFormat="false" ht="15" hidden="false" customHeight="false" outlineLevel="0" collapsed="false">
      <c r="A18" s="7" t="s">
        <v>14</v>
      </c>
      <c r="B18" s="8" t="n">
        <v>1200</v>
      </c>
      <c r="C18" s="9" t="n">
        <v>70</v>
      </c>
    </row>
    <row r="19" customFormat="false" ht="15" hidden="false" customHeight="false" outlineLevel="0" collapsed="false">
      <c r="A19" s="7" t="s">
        <v>15</v>
      </c>
      <c r="B19" s="8" t="n">
        <v>1400</v>
      </c>
      <c r="C19" s="9" t="n">
        <v>100</v>
      </c>
    </row>
    <row r="22" customFormat="false" ht="15" hidden="false" customHeight="false" outlineLevel="0" collapsed="false">
      <c r="A22" s="5" t="s">
        <v>16</v>
      </c>
      <c r="B22" s="5"/>
      <c r="C22" s="5"/>
    </row>
    <row r="23" customFormat="false" ht="15" hidden="false" customHeight="false" outlineLevel="0" collapsed="false">
      <c r="A23" s="10" t="s">
        <v>17</v>
      </c>
      <c r="B23" s="9" t="n">
        <v>900</v>
      </c>
    </row>
    <row r="25" customFormat="false" ht="15" hidden="false" customHeight="false" outlineLevel="0" collapsed="false">
      <c r="A25" s="11" t="s">
        <v>18</v>
      </c>
      <c r="B25" s="11"/>
      <c r="C25" s="11"/>
      <c r="D25" s="11"/>
    </row>
  </sheetData>
  <mergeCells count="5">
    <mergeCell ref="A1:D1"/>
    <mergeCell ref="A6:C6"/>
    <mergeCell ref="A14:C14"/>
    <mergeCell ref="A22:C22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1" t="s">
        <v>19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12" t="s">
        <v>20</v>
      </c>
      <c r="C3" s="4" t="s">
        <v>21</v>
      </c>
    </row>
    <row r="5" customFormat="false" ht="39.55" hidden="false" customHeight="false" outlineLevel="0" collapsed="false">
      <c r="A5" s="6" t="s">
        <v>22</v>
      </c>
      <c r="B5" s="6" t="s">
        <v>23</v>
      </c>
      <c r="C5" s="6" t="s">
        <v>24</v>
      </c>
      <c r="D5" s="6" t="s">
        <v>25</v>
      </c>
      <c r="E5" s="6" t="s">
        <v>26</v>
      </c>
      <c r="F5" s="6" t="s">
        <v>27</v>
      </c>
    </row>
    <row r="6" customFormat="false" ht="15" hidden="false" customHeight="false" outlineLevel="0" collapsed="false">
      <c r="A6" s="13" t="s">
        <v>28</v>
      </c>
      <c r="B6" s="13" t="s">
        <v>29</v>
      </c>
      <c r="C6" s="8" t="n">
        <v>2350</v>
      </c>
      <c r="D6" s="13" t="s">
        <v>30</v>
      </c>
      <c r="E6" s="14" t="str">
        <f aca="false">IF($D6="No","Sin bono (no consistente)",IF($B6="Fijo",IF($C6&gt;='Escalas de Bono'!$B$11,'Escalas de Bono'!$A$11,IF($C6&gt;='Escalas de Bono'!$B$10,'Escalas de Bono'!$A$10,IF($C6&gt;='Escalas de Bono'!$B$9,'Escalas de Bono'!$A$9,'Escalas de Bono'!$A$8))),IF($C6&gt;='Escalas de Bono'!$B$19,'Escalas de Bono'!$A$19,IF($C6&gt;='Escalas de Bono'!$B$18,'Escalas de Bono'!$A$18,IF($C6&gt;='Escalas de Bono'!$B$17,'Escalas de Bono'!$A$17,'Escalas de Bono'!$A$16)))))</f>
        <v>Nivel 2 - Buen desempeno</v>
      </c>
      <c r="F6" s="15" t="n">
        <f aca="false">IF($D6="No",0,IF($B6="Fijo",IF($C6&gt;='Escalas de Bono'!$B$11,'Escalas de Bono'!$C$11,IF($C6&gt;='Escalas de Bono'!$B$10,'Escalas de Bono'!$C$10,IF($C6&gt;='Escalas de Bono'!$B$9,'Escalas de Bono'!$C$9,0))),IF($C6&gt;='Escalas de Bono'!$B$19,'Escalas de Bono'!$C$19,IF($C6&gt;='Escalas de Bono'!$B$18,'Escalas de Bono'!$C$18,IF($C6&gt;='Escalas de Bono'!$B$17,'Escalas de Bono'!$C$17,0)))))</f>
        <v>130</v>
      </c>
    </row>
    <row r="7" customFormat="false" ht="15" hidden="false" customHeight="false" outlineLevel="0" collapsed="false">
      <c r="A7" s="13" t="s">
        <v>31</v>
      </c>
      <c r="B7" s="13" t="s">
        <v>29</v>
      </c>
      <c r="C7" s="8" t="n">
        <v>2050</v>
      </c>
      <c r="D7" s="13" t="s">
        <v>30</v>
      </c>
      <c r="E7" s="14" t="str">
        <f aca="false">IF($D7="No","Sin bono (no consistente)",IF($B7="Fijo",IF($C7&gt;='Escalas de Bono'!$B$11,'Escalas de Bono'!$A$11,IF($C7&gt;='Escalas de Bono'!$B$10,'Escalas de Bono'!$A$10,IF($C7&gt;='Escalas de Bono'!$B$9,'Escalas de Bono'!$A$9,'Escalas de Bono'!$A$8))),IF($C7&gt;='Escalas de Bono'!$B$19,'Escalas de Bono'!$A$19,IF($C7&gt;='Escalas de Bono'!$B$18,'Escalas de Bono'!$A$18,IF($C7&gt;='Escalas de Bono'!$B$17,'Escalas de Bono'!$A$17,'Escalas de Bono'!$A$16)))))</f>
        <v>Nivel 1 - Cumplimiento</v>
      </c>
      <c r="F7" s="15" t="n">
        <f aca="false">IF($D7="No",0,IF($B7="Fijo",IF($C7&gt;='Escalas de Bono'!$B$11,'Escalas de Bono'!$C$11,IF($C7&gt;='Escalas de Bono'!$B$10,'Escalas de Bono'!$C$10,IF($C7&gt;='Escalas de Bono'!$B$9,'Escalas de Bono'!$C$9,0))),IF($C7&gt;='Escalas de Bono'!$B$19,'Escalas de Bono'!$C$19,IF($C7&gt;='Escalas de Bono'!$B$18,'Escalas de Bono'!$C$18,IF($C7&gt;='Escalas de Bono'!$B$17,'Escalas de Bono'!$C$17,0)))))</f>
        <v>80</v>
      </c>
    </row>
    <row r="8" customFormat="false" ht="15" hidden="false" customHeight="false" outlineLevel="0" collapsed="false">
      <c r="A8" s="13" t="s">
        <v>32</v>
      </c>
      <c r="B8" s="13" t="s">
        <v>29</v>
      </c>
      <c r="C8" s="8" t="n">
        <v>2650</v>
      </c>
      <c r="D8" s="13" t="s">
        <v>33</v>
      </c>
      <c r="E8" s="14" t="str">
        <f aca="false">IF($D8="No","Sin bono (no consistente)",IF($B8="Fijo",IF($C8&gt;='Escalas de Bono'!$B$11,'Escalas de Bono'!$A$11,IF($C8&gt;='Escalas de Bono'!$B$10,'Escalas de Bono'!$A$10,IF($C8&gt;='Escalas de Bono'!$B$9,'Escalas de Bono'!$A$9,'Escalas de Bono'!$A$8))),IF($C8&gt;='Escalas de Bono'!$B$19,'Escalas de Bono'!$A$19,IF($C8&gt;='Escalas de Bono'!$B$18,'Escalas de Bono'!$A$18,IF($C8&gt;='Escalas de Bono'!$B$17,'Escalas de Bono'!$A$17,'Escalas de Bono'!$A$16)))))</f>
        <v>Sin bono (no consistente)</v>
      </c>
      <c r="F8" s="15" t="n">
        <f aca="false">IF($D8="No",0,IF($B8="Fijo",IF($C8&gt;='Escalas de Bono'!$B$11,'Escalas de Bono'!$C$11,IF($C8&gt;='Escalas de Bono'!$B$10,'Escalas de Bono'!$C$10,IF($C8&gt;='Escalas de Bono'!$B$9,'Escalas de Bono'!$C$9,0))),IF($C8&gt;='Escalas de Bono'!$B$19,'Escalas de Bono'!$C$19,IF($C8&gt;='Escalas de Bono'!$B$18,'Escalas de Bono'!$C$18,IF($C8&gt;='Escalas de Bono'!$B$17,'Escalas de Bono'!$C$17,0)))))</f>
        <v>0</v>
      </c>
    </row>
    <row r="9" customFormat="false" ht="15" hidden="false" customHeight="false" outlineLevel="0" collapsed="false">
      <c r="A9" s="13" t="s">
        <v>34</v>
      </c>
      <c r="B9" s="13" t="s">
        <v>35</v>
      </c>
      <c r="C9" s="8" t="n">
        <v>1150</v>
      </c>
      <c r="D9" s="13" t="s">
        <v>30</v>
      </c>
      <c r="E9" s="14" t="str">
        <f aca="false">IF($D9="No","Sin bono (no consistente)",IF($B9="Fijo",IF($C9&gt;='Escalas de Bono'!$B$11,'Escalas de Bono'!$A$11,IF($C9&gt;='Escalas de Bono'!$B$10,'Escalas de Bono'!$A$10,IF($C9&gt;='Escalas de Bono'!$B$9,'Escalas de Bono'!$A$9,'Escalas de Bono'!$A$8))),IF($C9&gt;='Escalas de Bono'!$B$19,'Escalas de Bono'!$A$19,IF($C9&gt;='Escalas de Bono'!$B$18,'Escalas de Bono'!$A$18,IF($C9&gt;='Escalas de Bono'!$B$17,'Escalas de Bono'!$A$17,'Escalas de Bono'!$A$16)))))</f>
        <v>Nivel 1</v>
      </c>
      <c r="F9" s="15" t="n">
        <f aca="false">IF($D9="No",0,IF($B9="Fijo",IF($C9&gt;='Escalas de Bono'!$B$11,'Escalas de Bono'!$C$11,IF($C9&gt;='Escalas de Bono'!$B$10,'Escalas de Bono'!$C$10,IF($C9&gt;='Escalas de Bono'!$B$9,'Escalas de Bono'!$C$9,0))),IF($C9&gt;='Escalas de Bono'!$B$19,'Escalas de Bono'!$C$19,IF($C9&gt;='Escalas de Bono'!$B$18,'Escalas de Bono'!$C$18,IF($C9&gt;='Escalas de Bono'!$B$17,'Escalas de Bono'!$C$17,0)))))</f>
        <v>40</v>
      </c>
    </row>
    <row r="10" customFormat="false" ht="15" hidden="false" customHeight="false" outlineLevel="0" collapsed="false">
      <c r="A10" s="13" t="s">
        <v>36</v>
      </c>
      <c r="B10" s="13" t="s">
        <v>35</v>
      </c>
      <c r="C10" s="8" t="n">
        <v>900</v>
      </c>
      <c r="D10" s="13" t="s">
        <v>30</v>
      </c>
      <c r="E10" s="14" t="str">
        <f aca="false">IF($D10="No","Sin bono (no consistente)",IF($B10="Fijo",IF($C10&gt;='Escalas de Bono'!$B$11,'Escalas de Bono'!$A$11,IF($C10&gt;='Escalas de Bono'!$B$10,'Escalas de Bono'!$A$10,IF($C10&gt;='Escalas de Bono'!$B$9,'Escalas de Bono'!$A$9,'Escalas de Bono'!$A$8))),IF($C10&gt;='Escalas de Bono'!$B$19,'Escalas de Bono'!$A$19,IF($C10&gt;='Escalas de Bono'!$B$18,'Escalas de Bono'!$A$18,IF($C10&gt;='Escalas de Bono'!$B$17,'Escalas de Bono'!$A$17,'Escalas de Bono'!$A$16)))))</f>
        <v>Sin bono</v>
      </c>
      <c r="F10" s="15" t="n">
        <f aca="false">IF($D10="No",0,IF($B10="Fijo",IF($C10&gt;='Escalas de Bono'!$B$11,'Escalas de Bono'!$C$11,IF($C10&gt;='Escalas de Bono'!$B$10,'Escalas de Bono'!$C$10,IF($C10&gt;='Escalas de Bono'!$B$9,'Escalas de Bono'!$C$9,0))),IF($C10&gt;='Escalas de Bono'!$B$19,'Escalas de Bono'!$C$19,IF($C10&gt;='Escalas de Bono'!$B$18,'Escalas de Bono'!$C$18,IF($C10&gt;='Escalas de Bono'!$B$17,'Escalas de Bono'!$C$17,0)))))</f>
        <v>0</v>
      </c>
    </row>
    <row r="11" customFormat="false" ht="15" hidden="false" customHeight="false" outlineLevel="0" collapsed="false">
      <c r="A11" s="13" t="s">
        <v>37</v>
      </c>
      <c r="B11" s="13" t="s">
        <v>35</v>
      </c>
      <c r="C11" s="8" t="n">
        <v>1420</v>
      </c>
      <c r="D11" s="13" t="s">
        <v>30</v>
      </c>
      <c r="E11" s="14" t="str">
        <f aca="false">IF($D11="No","Sin bono (no consistente)",IF($B11="Fijo",IF($C11&gt;='Escalas de Bono'!$B$11,'Escalas de Bono'!$A$11,IF($C11&gt;='Escalas de Bono'!$B$10,'Escalas de Bono'!$A$10,IF($C11&gt;='Escalas de Bono'!$B$9,'Escalas de Bono'!$A$9,'Escalas de Bono'!$A$8))),IF($C11&gt;='Escalas de Bono'!$B$19,'Escalas de Bono'!$A$19,IF($C11&gt;='Escalas de Bono'!$B$18,'Escalas de Bono'!$A$18,IF($C11&gt;='Escalas de Bono'!$B$17,'Escalas de Bono'!$A$17,'Escalas de Bono'!$A$16)))))</f>
        <v>Nivel 3</v>
      </c>
      <c r="F11" s="15" t="n">
        <f aca="false">IF($D11="No",0,IF($B11="Fijo",IF($C11&gt;='Escalas de Bono'!$B$11,'Escalas de Bono'!$C$11,IF($C11&gt;='Escalas de Bono'!$B$10,'Escalas de Bono'!$C$10,IF($C11&gt;='Escalas de Bono'!$B$9,'Escalas de Bono'!$C$9,0))),IF($C11&gt;='Escalas de Bono'!$B$19,'Escalas de Bono'!$C$19,IF($C11&gt;='Escalas de Bono'!$B$18,'Escalas de Bono'!$C$18,IF($C11&gt;='Escalas de Bono'!$B$17,'Escalas de Bono'!$C$17,0)))))</f>
        <v>100</v>
      </c>
    </row>
    <row r="12" customFormat="false" ht="15" hidden="false" customHeight="false" outlineLevel="0" collapsed="false">
      <c r="A12" s="13" t="s">
        <v>38</v>
      </c>
      <c r="B12" s="13" t="s">
        <v>35</v>
      </c>
      <c r="C12" s="8" t="n">
        <v>1000</v>
      </c>
      <c r="D12" s="13" t="s">
        <v>30</v>
      </c>
      <c r="E12" s="14" t="str">
        <f aca="false">IF($D12="No","Sin bono (no consistente)",IF($B12="Fijo",IF($C12&gt;='Escalas de Bono'!$B$11,'Escalas de Bono'!$A$11,IF($C12&gt;='Escalas de Bono'!$B$10,'Escalas de Bono'!$A$10,IF($C12&gt;='Escalas de Bono'!$B$9,'Escalas de Bono'!$A$9,'Escalas de Bono'!$A$8))),IF($C12&gt;='Escalas de Bono'!$B$19,'Escalas de Bono'!$A$19,IF($C12&gt;='Escalas de Bono'!$B$18,'Escalas de Bono'!$A$18,IF($C12&gt;='Escalas de Bono'!$B$17,'Escalas de Bono'!$A$17,'Escalas de Bono'!$A$16)))))</f>
        <v>Nivel 1</v>
      </c>
      <c r="F12" s="15" t="n">
        <f aca="false">IF($D12="No",0,IF($B12="Fijo",IF($C12&gt;='Escalas de Bono'!$B$11,'Escalas de Bono'!$C$11,IF($C12&gt;='Escalas de Bono'!$B$10,'Escalas de Bono'!$C$10,IF($C12&gt;='Escalas de Bono'!$B$9,'Escalas de Bono'!$C$9,0))),IF($C12&gt;='Escalas de Bono'!$B$19,'Escalas de Bono'!$C$19,IF($C12&gt;='Escalas de Bono'!$B$18,'Escalas de Bono'!$C$18,IF($C12&gt;='Escalas de Bono'!$B$17,'Escalas de Bono'!$C$17,0)))))</f>
        <v>40</v>
      </c>
    </row>
    <row r="13" customFormat="false" ht="15" hidden="false" customHeight="false" outlineLevel="0" collapsed="false">
      <c r="A13" s="13" t="s">
        <v>39</v>
      </c>
      <c r="B13" s="13" t="s">
        <v>35</v>
      </c>
      <c r="C13" s="8" t="n">
        <v>0</v>
      </c>
      <c r="D13" s="13" t="s">
        <v>30</v>
      </c>
      <c r="E13" s="14" t="str">
        <f aca="false">IF($D13="No","Sin bono (no consistente)",IF($B13="Fijo",IF($C13&gt;='Escalas de Bono'!$B$11,'Escalas de Bono'!$A$11,IF($C13&gt;='Escalas de Bono'!$B$10,'Escalas de Bono'!$A$10,IF($C13&gt;='Escalas de Bono'!$B$9,'Escalas de Bono'!$A$9,'Escalas de Bono'!$A$8))),IF($C13&gt;='Escalas de Bono'!$B$19,'Escalas de Bono'!$A$19,IF($C13&gt;='Escalas de Bono'!$B$18,'Escalas de Bono'!$A$18,IF($C13&gt;='Escalas de Bono'!$B$17,'Escalas de Bono'!$A$17,'Escalas de Bono'!$A$16)))))</f>
        <v>Sin bono</v>
      </c>
      <c r="F13" s="15" t="n">
        <f aca="false">IF($D13="No",0,IF($B13="Fijo",IF($C13&gt;='Escalas de Bono'!$B$11,'Escalas de Bono'!$C$11,IF($C13&gt;='Escalas de Bono'!$B$10,'Escalas de Bono'!$C$10,IF($C13&gt;='Escalas de Bono'!$B$9,'Escalas de Bono'!$C$9,0))),IF($C13&gt;='Escalas de Bono'!$B$19,'Escalas de Bono'!$C$19,IF($C13&gt;='Escalas de Bono'!$B$18,'Escalas de Bono'!$C$18,IF($C13&gt;='Escalas de Bono'!$B$17,'Escalas de Bono'!$C$17,0)))))</f>
        <v>0</v>
      </c>
    </row>
    <row r="14" customFormat="false" ht="15" hidden="false" customHeight="false" outlineLevel="0" collapsed="false">
      <c r="A14" s="16" t="s">
        <v>40</v>
      </c>
      <c r="B14" s="17"/>
      <c r="C14" s="17"/>
      <c r="D14" s="17"/>
      <c r="E14" s="17"/>
      <c r="F14" s="18" t="n">
        <f aca="false">SUM(F6:F13)</f>
        <v>390</v>
      </c>
    </row>
    <row r="16" customFormat="false" ht="15" hidden="false" customHeight="false" outlineLevel="0" collapsed="false">
      <c r="A16" s="2" t="s">
        <v>41</v>
      </c>
      <c r="C16" s="19" t="n">
        <f aca="false">'Escalas de Bono'!$B$23</f>
        <v>900</v>
      </c>
    </row>
    <row r="17" customFormat="false" ht="15" hidden="false" customHeight="false" outlineLevel="0" collapsed="false">
      <c r="A17" s="2" t="s">
        <v>42</v>
      </c>
      <c r="C17" s="19" t="n">
        <f aca="false">'Escalas de Bono'!$B$23-F14</f>
        <v>510</v>
      </c>
    </row>
    <row r="18" customFormat="false" ht="15" hidden="false" customHeight="false" outlineLevel="0" collapsed="false">
      <c r="A18" s="2" t="s">
        <v>43</v>
      </c>
      <c r="C18" s="20" t="str">
        <f aca="false">IF(F14&lt;='Escalas de Bono'!$B$23,"Dentro de presupuesto","EXCEDE el presupuesto")</f>
        <v>Dentro de presupuesto</v>
      </c>
    </row>
  </sheetData>
  <mergeCells count="1">
    <mergeCell ref="A1:F1"/>
  </mergeCells>
  <dataValidations count="2">
    <dataValidation allowBlank="false" errorStyle="stop" operator="between" showDropDown="false" showErrorMessage="false" showInputMessage="false" sqref="B6:B13" type="list">
      <formula1>"Fijo,Eventual"</formula1>
      <formula2>0</formula2>
    </dataValidation>
    <dataValidation allowBlank="false" errorStyle="stop" operator="between" showDropDown="false" showErrorMessage="false" showInputMessage="false" sqref="D6:D13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5" min="4" style="0" width="22"/>
    <col collapsed="false" customWidth="true" hidden="false" outlineLevel="0" max="6" min="6" style="0" width="20"/>
  </cols>
  <sheetData>
    <row r="1" customFormat="false" ht="27.75" hidden="false" customHeight="true" outlineLevel="0" collapsed="false">
      <c r="A1" s="1" t="s">
        <v>44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45</v>
      </c>
    </row>
    <row r="4" customFormat="false" ht="15" hidden="false" customHeight="false" outlineLevel="0" collapsed="false">
      <c r="A4" s="0" t="s">
        <v>46</v>
      </c>
      <c r="C4" s="21" t="n">
        <v>200</v>
      </c>
    </row>
    <row r="5" customFormat="false" ht="15" hidden="false" customHeight="false" outlineLevel="0" collapsed="false">
      <c r="A5" s="0" t="s">
        <v>47</v>
      </c>
      <c r="C5" s="22" t="n">
        <v>4.33</v>
      </c>
    </row>
    <row r="7" customFormat="false" ht="26.85" hidden="false" customHeight="false" outlineLevel="0" collapsed="false">
      <c r="A7" s="6" t="s">
        <v>22</v>
      </c>
      <c r="B7" s="6" t="s">
        <v>23</v>
      </c>
      <c r="C7" s="6" t="s">
        <v>48</v>
      </c>
      <c r="D7" s="6" t="s">
        <v>49</v>
      </c>
      <c r="E7" s="6" t="s">
        <v>50</v>
      </c>
      <c r="F7" s="6" t="s">
        <v>51</v>
      </c>
    </row>
    <row r="8" customFormat="false" ht="15" hidden="false" customHeight="false" outlineLevel="0" collapsed="false">
      <c r="A8" s="14" t="str">
        <f aca="false">'Simulador Mensual'!A6</f>
        <v>Promotora fija 1 (ejemplo)</v>
      </c>
      <c r="B8" s="14" t="str">
        <f aca="false">'Simulador Mensual'!B6</f>
        <v>Fijo</v>
      </c>
      <c r="C8" s="13" t="s">
        <v>30</v>
      </c>
      <c r="D8" s="15" t="n">
        <f aca="false">IF($C8="Si",$C$4*$C$5,0)</f>
        <v>866</v>
      </c>
      <c r="E8" s="15" t="n">
        <f aca="false">'Simulador Mensual'!F6</f>
        <v>130</v>
      </c>
      <c r="F8" s="15" t="n">
        <f aca="false">D8-E8</f>
        <v>736</v>
      </c>
    </row>
    <row r="9" customFormat="false" ht="15" hidden="false" customHeight="false" outlineLevel="0" collapsed="false">
      <c r="A9" s="14" t="str">
        <f aca="false">'Simulador Mensual'!A7</f>
        <v>Promotora fija 2</v>
      </c>
      <c r="B9" s="14" t="str">
        <f aca="false">'Simulador Mensual'!B7</f>
        <v>Fijo</v>
      </c>
      <c r="C9" s="13" t="s">
        <v>33</v>
      </c>
      <c r="D9" s="15" t="n">
        <f aca="false">IF($C9="Si",$C$4*$C$5,0)</f>
        <v>0</v>
      </c>
      <c r="E9" s="15" t="n">
        <f aca="false">'Simulador Mensual'!F7</f>
        <v>80</v>
      </c>
      <c r="F9" s="15" t="n">
        <f aca="false">D9-E9</f>
        <v>-80</v>
      </c>
    </row>
    <row r="10" customFormat="false" ht="15" hidden="false" customHeight="false" outlineLevel="0" collapsed="false">
      <c r="A10" s="14" t="str">
        <f aca="false">'Simulador Mensual'!A8</f>
        <v>Promotora fija 3</v>
      </c>
      <c r="B10" s="14" t="str">
        <f aca="false">'Simulador Mensual'!B8</f>
        <v>Fijo</v>
      </c>
      <c r="C10" s="13" t="s">
        <v>30</v>
      </c>
      <c r="D10" s="15" t="n">
        <f aca="false">IF($C10="Si",$C$4*$C$5,0)</f>
        <v>866</v>
      </c>
      <c r="E10" s="15" t="n">
        <f aca="false">'Simulador Mensual'!F8</f>
        <v>0</v>
      </c>
      <c r="F10" s="15" t="n">
        <f aca="false">D10-E10</f>
        <v>866</v>
      </c>
    </row>
    <row r="11" customFormat="false" ht="15" hidden="false" customHeight="false" outlineLevel="0" collapsed="false">
      <c r="A11" s="14" t="str">
        <f aca="false">'Simulador Mensual'!A9</f>
        <v>Promotor eventual 1</v>
      </c>
      <c r="B11" s="14" t="str">
        <f aca="false">'Simulador Mensual'!B9</f>
        <v>Eventual</v>
      </c>
      <c r="C11" s="13" t="s">
        <v>33</v>
      </c>
      <c r="D11" s="15" t="n">
        <f aca="false">IF($C11="Si",$C$4*$C$5,0)</f>
        <v>0</v>
      </c>
      <c r="E11" s="15" t="n">
        <f aca="false">'Simulador Mensual'!F9</f>
        <v>40</v>
      </c>
      <c r="F11" s="15" t="n">
        <f aca="false">D11-E11</f>
        <v>-40</v>
      </c>
    </row>
    <row r="12" customFormat="false" ht="15" hidden="false" customHeight="false" outlineLevel="0" collapsed="false">
      <c r="A12" s="14" t="str">
        <f aca="false">'Simulador Mensual'!A10</f>
        <v>Promotor eventual 2</v>
      </c>
      <c r="B12" s="14" t="str">
        <f aca="false">'Simulador Mensual'!B10</f>
        <v>Eventual</v>
      </c>
      <c r="C12" s="13" t="s">
        <v>33</v>
      </c>
      <c r="D12" s="15" t="n">
        <f aca="false">IF($C12="Si",$C$4*$C$5,0)</f>
        <v>0</v>
      </c>
      <c r="E12" s="15" t="n">
        <f aca="false">'Simulador Mensual'!F10</f>
        <v>0</v>
      </c>
      <c r="F12" s="15" t="n">
        <f aca="false">D12-E12</f>
        <v>0</v>
      </c>
    </row>
    <row r="13" customFormat="false" ht="15" hidden="false" customHeight="false" outlineLevel="0" collapsed="false">
      <c r="A13" s="14" t="str">
        <f aca="false">'Simulador Mensual'!A11</f>
        <v>Promotor eventual 3</v>
      </c>
      <c r="B13" s="14" t="str">
        <f aca="false">'Simulador Mensual'!B11</f>
        <v>Eventual</v>
      </c>
      <c r="C13" s="13" t="s">
        <v>30</v>
      </c>
      <c r="D13" s="15" t="n">
        <f aca="false">IF($C13="Si",$C$4*$C$5,0)</f>
        <v>866</v>
      </c>
      <c r="E13" s="15" t="n">
        <f aca="false">'Simulador Mensual'!F11</f>
        <v>100</v>
      </c>
      <c r="F13" s="15" t="n">
        <f aca="false">D13-E13</f>
        <v>766</v>
      </c>
    </row>
    <row r="14" customFormat="false" ht="15" hidden="false" customHeight="false" outlineLevel="0" collapsed="false">
      <c r="A14" s="14" t="str">
        <f aca="false">'Simulador Mensual'!A12</f>
        <v>Promotor eventual 4</v>
      </c>
      <c r="B14" s="14" t="str">
        <f aca="false">'Simulador Mensual'!B12</f>
        <v>Eventual</v>
      </c>
      <c r="C14" s="13" t="s">
        <v>33</v>
      </c>
      <c r="D14" s="15" t="n">
        <f aca="false">IF($C14="Si",$C$4*$C$5,0)</f>
        <v>0</v>
      </c>
      <c r="E14" s="15" t="n">
        <f aca="false">'Simulador Mensual'!F12</f>
        <v>40</v>
      </c>
      <c r="F14" s="15" t="n">
        <f aca="false">D14-E14</f>
        <v>-40</v>
      </c>
    </row>
    <row r="15" customFormat="false" ht="15" hidden="false" customHeight="false" outlineLevel="0" collapsed="false">
      <c r="A15" s="14" t="str">
        <f aca="false">'Simulador Mensual'!A13</f>
        <v>Promotor eventual 5</v>
      </c>
      <c r="B15" s="14" t="str">
        <f aca="false">'Simulador Mensual'!B13</f>
        <v>Eventual</v>
      </c>
      <c r="C15" s="13" t="s">
        <v>33</v>
      </c>
      <c r="D15" s="15" t="n">
        <f aca="false">IF($C15="Si",$C$4*$C$5,0)</f>
        <v>0</v>
      </c>
      <c r="E15" s="15" t="n">
        <f aca="false">'Simulador Mensual'!F13</f>
        <v>0</v>
      </c>
      <c r="F15" s="15" t="n">
        <f aca="false">D15-E15</f>
        <v>0</v>
      </c>
    </row>
    <row r="16" customFormat="false" ht="15" hidden="false" customHeight="false" outlineLevel="0" collapsed="false">
      <c r="A16" s="16" t="s">
        <v>40</v>
      </c>
      <c r="B16" s="17"/>
      <c r="C16" s="17"/>
      <c r="D16" s="18" t="n">
        <f aca="false">SUM(D8:D15)</f>
        <v>2598</v>
      </c>
      <c r="E16" s="18" t="n">
        <f aca="false">SUM(E8:E15)</f>
        <v>390</v>
      </c>
      <c r="F16" s="18" t="n">
        <f aca="false">SUM(F8:F15)</f>
        <v>2208</v>
      </c>
    </row>
    <row r="18" customFormat="false" ht="15" hidden="false" customHeight="false" outlineLevel="0" collapsed="false">
      <c r="A18" s="23" t="s">
        <v>52</v>
      </c>
      <c r="C18" s="24" t="n">
        <f aca="false">D16-E16</f>
        <v>2208</v>
      </c>
    </row>
    <row r="19" customFormat="false" ht="15" hidden="false" customHeight="false" outlineLevel="0" collapsed="false">
      <c r="A19" s="23" t="s">
        <v>53</v>
      </c>
      <c r="C19" s="25" t="n">
        <f aca="false">IF(D16=0,"-",(D16-E16)/D16)</f>
        <v>0.849884526558892</v>
      </c>
    </row>
    <row r="21" customFormat="false" ht="15" hidden="false" customHeight="false" outlineLevel="0" collapsed="false">
      <c r="A21" s="11" t="s">
        <v>54</v>
      </c>
      <c r="B21" s="11"/>
      <c r="C21" s="11"/>
      <c r="D21" s="11"/>
      <c r="E21" s="11"/>
      <c r="F21" s="11"/>
    </row>
  </sheetData>
  <mergeCells count="2">
    <mergeCell ref="A1:G1"/>
    <mergeCell ref="A21:F21"/>
  </mergeCells>
  <dataValidations count="1">
    <dataValidation allowBlank="false" errorStyle="stop" operator="between" showDropDown="false" showErrorMessage="false" showInputMessage="false" sqref="C8:C15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2026-09-21T13:53:43Z</dcterms:created>
  <dc:creator>openpyxl</dc:creator>
  <dc:description/>
  <dc:language>en-US</dc:language>
  <cp:lastModifiedBy/>
  <dcterms:modified xsi:type="dcterms:W3CDTF">2026-09-21T13:54:38Z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