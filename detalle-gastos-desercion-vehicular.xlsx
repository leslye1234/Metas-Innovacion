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alle de 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<sst xmlns="http://schemas.openxmlformats.org/spreadsheetml/2006/main" count="30" uniqueCount="30">
  <si>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Ampliacion de OC - ESTRATEK S.A.S. SUCURSAL DEL PERU - Iniciativa de Desercion Vehicular</t>
  </si>
  <si>
    <t xml:space="preserve">Detalle de gastos en dolares (US$). Monto tope: US$ 27,000 incluido IGV, hasta el 31 de diciembre de 2026.</t>
  </si>
  <si>
    <t xml:space="preserve">Leyenda:</t>
  </si>
  <si>
    <t xml:space="preserve">Celda editable</t>
  </si>
  <si>
    <t xml:space="preserve">Celda calculada</t>
  </si>
  <si>
    <t xml:space="preserve">DATOS</t>
  </si>
  <si>
    <t xml:space="preserve">Monto tope de la ampliacion (US$, incluido IGV)</t>
  </si>
  <si>
    <t xml:space="preserve">Registros</t>
  </si>
  <si>
    <t xml:space="preserve">Costo por registro (US$, incluye conversaciones del chatbot)</t>
  </si>
  <si>
    <t xml:space="preserve">% del saldo para marketing digital (el resto va a volanteo)</t>
  </si>
  <si>
    <t xml:space="preserve">IGV</t>
  </si>
  <si>
    <t xml:space="preserve">Valor neto disponible (US$, sin IGV)</t>
  </si>
  <si>
    <t xml:space="preserve">DETALLE DE GASTOS (US$)</t>
  </si>
  <si>
    <t xml:space="preserve">Componente</t>
  </si>
  <si>
    <t xml:space="preserve">Calculo</t>
  </si>
  <si>
    <t xml:space="preserve">Monto (US$)</t>
  </si>
  <si>
    <t xml:space="preserve">% del total</t>
  </si>
  <si>
    <t xml:space="preserve">1. Plataforma de registros y chatbot</t>
  </si>
  <si>
    <t xml:space="preserve">Registros x costo por registro</t>
  </si>
  <si>
    <t xml:space="preserve">2. Marketing digital</t>
  </si>
  <si>
    <t xml:space="preserve">Saldo x % para marketing</t>
  </si>
  <si>
    <t xml:space="preserve">3. Volanteo en campo</t>
  </si>
  <si>
    <t xml:space="preserve">Saldo restante</t>
  </si>
  <si>
    <t xml:space="preserve">VALOR NETO (sin IGV)</t>
  </si>
  <si>
    <t xml:space="preserve">1 + 2 + 3</t>
  </si>
  <si>
    <t xml:space="preserve">IGV 18%</t>
  </si>
  <si>
    <t xml:space="preserve">Valor neto x IGV</t>
  </si>
  <si>
    <t xml:space="preserve">TOTAL CON IGV</t>
  </si>
  <si>
    <t xml:space="preserve">Valor neto + IGV</t>
  </si>
  <si>
    <t xml:space="preserve">Validacion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</si>
</sst>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US$ &quot;#,##0.00"/>
    <numFmt numFmtId="166" formatCode="#,##0"/>
    <numFmt numFmtId="167" formatCode="0%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2" t="s">
        <v>3</v>
      </c>
      <c r="C3" s="3" t="s">
        <v>4</v>
      </c>
    </row>
    <row r="5" customFormat="false" ht="15" hidden="false" customHeight="false" outlineLevel="0" collapsed="false">
      <c r="A5" s="4" t="s">
        <v>5</v>
      </c>
    </row>
    <row r="6" customFormat="false" ht="15" hidden="false" customHeight="false" outlineLevel="0" collapsed="false">
      <c r="A6" s="0" t="s">
        <v>6</v>
      </c>
      <c r="B6" s="5" t="n">
        <v>27000</v>
      </c>
    </row>
    <row r="7" customFormat="false" ht="15" hidden="false" customHeight="false" outlineLevel="0" collapsed="false">
      <c r="A7" s="0" t="s">
        <v>7</v>
      </c>
      <c r="B7" s="6" t="n">
        <v>10000</v>
      </c>
    </row>
    <row r="8" customFormat="false" ht="15" hidden="false" customHeight="false" outlineLevel="0" collapsed="false">
      <c r="A8" s="0" t="s">
        <v>8</v>
      </c>
      <c r="B8" s="5" t="n">
        <v>0.8</v>
      </c>
    </row>
    <row r="9" customFormat="false" ht="15" hidden="false" customHeight="false" outlineLevel="0" collapsed="false">
      <c r="A9" s="0" t="s">
        <v>9</v>
      </c>
      <c r="B9" s="7" t="n">
        <v>0.5</v>
      </c>
    </row>
    <row r="10" customFormat="false" ht="15" hidden="false" customHeight="false" outlineLevel="0" collapsed="false">
      <c r="A10" s="0" t="s">
        <v>10</v>
      </c>
      <c r="B10" s="7" t="n">
        <v>0.18</v>
      </c>
    </row>
    <row r="11" customFormat="false" ht="15" hidden="false" customHeight="false" outlineLevel="0" collapsed="false">
      <c r="A11" s="0" t="s">
        <v>11</v>
      </c>
      <c r="B11" s="8" t="n">
        <f aca="false">B6/(1+B10)</f>
        <v>22881.3559322034</v>
      </c>
    </row>
    <row r="12" customFormat="false" ht="15" hidden="false" customHeight="false" outlineLevel="0" collapsed="false">
      <c r="A12" s="4" t="s">
        <v>12</v>
      </c>
    </row>
    <row r="13" customFormat="false" ht="15" hidden="false" customHeight="false" outlineLevel="0" collapsed="false">
      <c r="A13" s="9" t="s">
        <v>13</v>
      </c>
      <c r="B13" s="9" t="s">
        <v>14</v>
      </c>
      <c r="C13" s="9" t="s">
        <v>15</v>
      </c>
      <c r="D13" s="9" t="s">
        <v>16</v>
      </c>
    </row>
    <row r="14" customFormat="false" ht="15" hidden="false" customHeight="false" outlineLevel="0" collapsed="false">
      <c r="A14" s="10" t="s">
        <v>17</v>
      </c>
      <c r="B14" s="10" t="s">
        <v>18</v>
      </c>
      <c r="C14" s="8" t="n">
        <f aca="false">B7*B8</f>
        <v>8000</v>
      </c>
      <c r="D14" s="11" t="n">
        <f aca="false">C14/$C$17</f>
        <v>0.34962962962963</v>
      </c>
    </row>
    <row r="15" customFormat="false" ht="15" hidden="false" customHeight="false" outlineLevel="0" collapsed="false">
      <c r="A15" s="10" t="s">
        <v>19</v>
      </c>
      <c r="B15" s="10" t="s">
        <v>20</v>
      </c>
      <c r="C15" s="8" t="n">
        <f aca="false">(B11-C14)*B9</f>
        <v>7440.6779661017</v>
      </c>
      <c r="D15" s="11" t="n">
        <f aca="false">C15/$C$17</f>
        <v>0.325185185185185</v>
      </c>
    </row>
    <row r="16" customFormat="false" ht="15" hidden="false" customHeight="false" outlineLevel="0" collapsed="false">
      <c r="A16" s="10" t="s">
        <v>21</v>
      </c>
      <c r="B16" s="10" t="s">
        <v>22</v>
      </c>
      <c r="C16" s="8" t="n">
        <f aca="false">B11-C14-C15</f>
        <v>7440.6779661017</v>
      </c>
      <c r="D16" s="11" t="n">
        <f aca="false">C16/$C$17</f>
        <v>0.325185185185185</v>
      </c>
    </row>
    <row r="17" customFormat="false" ht="15" hidden="false" customHeight="false" outlineLevel="0" collapsed="false">
      <c r="A17" s="12" t="s">
        <v>23</v>
      </c>
      <c r="B17" s="12" t="s">
        <v>24</v>
      </c>
      <c r="C17" s="13" t="n">
        <f aca="false">C14+C15+C16</f>
        <v>22881.3559322034</v>
      </c>
      <c r="D17" s="14" t="n">
        <f aca="false">C17/$C$17</f>
        <v>1</v>
      </c>
    </row>
    <row r="18" customFormat="false" ht="15" hidden="false" customHeight="false" outlineLevel="0" collapsed="false">
      <c r="A18" s="12" t="s">
        <v>25</v>
      </c>
      <c r="B18" s="12" t="s">
        <v>26</v>
      </c>
      <c r="C18" s="13" t="n">
        <f aca="false">C17*B10</f>
        <v>4118.64406779661</v>
      </c>
      <c r="D18" s="12"/>
    </row>
    <row r="19" customFormat="false" ht="15" hidden="false" customHeight="false" outlineLevel="0" collapsed="false">
      <c r="A19" s="12" t="s">
        <v>27</v>
      </c>
      <c r="B19" s="12" t="s">
        <v>28</v>
      </c>
      <c r="C19" s="13" t="n">
        <f aca="false">C17+C18</f>
        <v>27000</v>
      </c>
      <c r="D19" s="12"/>
    </row>
    <row r="21" customFormat="false" ht="15" hidden="false" customHeight="false" outlineLevel="0" collapsed="false">
      <c r="A21" s="0" t="s">
        <v>29</v>
      </c>
      <c r="C21" s="3" t="str">
        <f aca="false">IF(C16&lt;0,"El monto no alcanza","OK - el detalle suma el monto tope")</f>
        <v>OK - el detalle suma el monto tope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2026-10-20T02:51:38Z</dcterms:created>
  <dc:creator>openpyxl</dc:creator>
  <dc:description/>
  <dc:language>en-US</dc:language>
  <cp:lastModifiedBy/>
  <dcterms:modified xsi:type="dcterms:W3CDTF">2026-10-20T02:51:38Z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