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y Comparacion" sheetId="1" state="visible" r:id="rId3"/>
    <sheet name="Escenario A - Individual" sheetId="2" state="visible" r:id="rId4"/>
    <sheet name="Escenario B - Grupa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<sst xmlns="http://schemas.openxmlformats.org/spreadsheetml/2006/main" count="79" uniqueCount="65">
  <si>
    <t xml:space="preserve">Incentivos de Volanteo - Resumen y Comparacion</t>
  </si>
  <si>
    <t xml:space="preserve">Leyenda:</t>
  </si>
  <si>
    <t xml:space="preserve">Celda editable (parametro / supuesto)</t>
  </si>
  <si>
    <t xml:space="preserve">Celda calculada (formula)</t>
  </si>
  <si>
    <t xml:space="preserve">Regla base (igual en los dos escenarios):</t>
  </si>
  <si>
    <t xml:space="preserve">500 volanteos REGISTRADOS Y VALIDADOS = 1 bono. Lo unico que cambia es a quien se le exige el 500: a cada persona sola (Escenario A), o al equipo completo (Escenario B).</t>
  </si>
  <si>
    <t xml:space="preserve">PARAMETROS</t>
  </si>
  <si>
    <t xml:space="preserve">Numero de personas fijas</t>
  </si>
  <si>
    <t xml:space="preserve">Meta individual (volanteos/persona/dia)</t>
  </si>
  <si>
    <t xml:space="preserve">Volanteos necesarios para el bono</t>
  </si>
  <si>
    <t xml:space="preserve">Monto del bono por hito cumplido (S/)</t>
  </si>
  <si>
    <t xml:space="preserve">Semanas promedio por mes</t>
  </si>
  <si>
    <t xml:space="preserve">Dias promedio para que el EQUIPO junte 500 (real)</t>
  </si>
  <si>
    <t xml:space="preserve">Ventana minima (mejor caso, dias)</t>
  </si>
  <si>
    <t xml:space="preserve">Ventana maxima antes de reiniciar sin bono (dias)</t>
  </si>
  <si>
    <t xml:space="preserve">COMPARACION DE ESCENARIOS</t>
  </si>
  <si>
    <t xml:space="preserve">Escenario</t>
  </si>
  <si>
    <t xml:space="preserve">Mecanica</t>
  </si>
  <si>
    <t xml:space="preserve">Veces que se paga / mes</t>
  </si>
  <si>
    <t xml:space="preserve">Costo mensual estimado (S/)</t>
  </si>
  <si>
    <t xml:space="preserve">A - Ideal (individual)</t>
  </si>
  <si>
    <t xml:space="preserve">Cada persona cumple 500 SOLA, cada semana</t>
  </si>
  <si>
    <t xml:space="preserve">B - Real (grupal)</t>
  </si>
  <si>
    <t xml:space="preserve">Las 3 juntan 500 ENTRE TODAS</t>
  </si>
  <si>
    <t xml:space="preserve">Rango real de B (segun cuanto tarde el equipo):</t>
  </si>
  <si>
    <t xml:space="preserve">Si tardan el minimo (mejor caso, mas caro)</t>
  </si>
  <si>
    <t xml:space="preserve">Si tardan el maximo (peor caso, mas barato)</t>
  </si>
  <si>
    <t xml:space="preserve">Ahorro mensual estimado usando B en vez de A (S/)</t>
  </si>
  <si>
    <t xml:space="preserve">Ahorro estimado (%)</t>
  </si>
  <si>
    <t xml:space="preserve">Nota: A es el costo maximo de referencia (dificil de sostener todo el mes). B es lo que realmente ocurre y es el esquema recomendado para operar y presupuestar.</t>
  </si>
  <si>
    <t xml:space="preserve">Escenario A - Cada Persona Cumple Sola</t>
  </si>
  <si>
    <t xml:space="preserve">Como se usa:</t>
  </si>
  <si>
    <t xml:space="preserve">Escribe "Si" o "No" en cada semana: si esa persona llego SOLA a 500 volanteos (100/dia x 5 dias) esa semana especifica.</t>
  </si>
  <si>
    <t xml:space="preserve">El bono de esa semana (S/) se calcula solo.</t>
  </si>
  <si>
    <t xml:space="preserve">Nombre</t>
  </si>
  <si>
    <t xml:space="preserve">Semana 1</t>
  </si>
  <si>
    <t xml:space="preserve">Semana 2</t>
  </si>
  <si>
    <t xml:space="preserve">Semana 3</t>
  </si>
  <si>
    <t xml:space="preserve">Semana 4</t>
  </si>
  <si>
    <t xml:space="preserve">Semana 5 (si aplica)</t>
  </si>
  <si>
    <t xml:space="preserve">Total bono del mes (S/)</t>
  </si>
  <si>
    <t xml:space="preserve">Promotora fija 1 (ejemplo)</t>
  </si>
  <si>
    <t xml:space="preserve">Si</t>
  </si>
  <si>
    <t xml:space="preserve">No</t>
  </si>
  <si>
    <t xml:space="preserve">Promotora fija 2</t>
  </si>
  <si>
    <t xml:space="preserve">Promotora fija 3</t>
  </si>
  <si>
    <t xml:space="preserve">TOTAL EQUIPO</t>
  </si>
  <si>
    <t xml:space="preserve">Referencia: costo mensual si esto se sostiene TODAS las semanas (Hoja Resumen)</t>
  </si>
  <si>
    <t xml:space="preserve">Escenario B - El Equipo Cumple Junto</t>
  </si>
  <si>
    <t xml:space="preserve">Cada fila es un ciclo real. Anota el dia en que empezo y cuantos dias tardaron LAS 3 JUNTAS en llegar a 500 volanteos registrados.</t>
  </si>
  <si>
    <t xml:space="preserve">El siguiente ciclo empieza solo el dia despues de que termina este (haya llegado o no).</t>
  </si>
  <si>
    <t xml:space="preserve">Ciclo</t>
  </si>
  <si>
    <t xml:space="preserve">Dia de inicio</t>
  </si>
  <si>
    <t xml:space="preserve">Dias que tardaron en llegar a 500</t>
  </si>
  <si>
    <t xml:space="preserve">Dia de corte</t>
  </si>
  <si>
    <t xml:space="preserve">Llego a tiempo? (&lt;= ventana maxima)</t>
  </si>
  <si>
    <t xml:space="preserve">Bono de equipo (S/)</t>
  </si>
  <si>
    <t xml:space="preserve">Bono por persona (S/)</t>
  </si>
  <si>
    <t xml:space="preserve">Dentro del mes (dia &lt;= 30)?</t>
  </si>
  <si>
    <t xml:space="preserve">RESUMEN DEL MES (dias 1-30)</t>
  </si>
  <si>
    <t xml:space="preserve">Ciclos que cerraron dentro del mes</t>
  </si>
  <si>
    <t xml:space="preserve">Bono total pagado en el mes (S/)</t>
  </si>
  <si>
    <t xml:space="preserve">Dias promedio real por ciclo (de los que llegaron)</t>
  </si>
  <si>
    <t xml:space="preserve">Comparar contra la Hoja Resumen (Escenario B estimado)</t>
  </si>
  <si>
    <t xml:space="preserve">Nota: usa esta hoja como bitacora real, ciclo a ciclo. El promedio de dias que resulte aqui puedes llevarlo al parametro de la Hoja Resumen para afinar la proyeccion mensual.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</si>
</sst>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&quot;S/ &quot;#,##0;&quot;(S/ &quot;#,##0\);\-"/>
    <numFmt numFmtId="167" formatCode="0.00"/>
    <numFmt numFmtId="168" formatCode="0&quot; días&quot;"/>
    <numFmt numFmtId="169" formatCode="0.0"/>
    <numFmt numFmtId="170" formatCode="0.0%"/>
    <numFmt numFmtId="171" formatCode="0&quot; dias&quot;"/>
    <numFmt numFmtId="172" formatCode="0.0&quot; dias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  <c r="B3" s="3" t="s">
        <v>2</v>
      </c>
      <c r="D3" s="4" t="s">
        <v>3</v>
      </c>
    </row>
    <row r="5" customFormat="false" ht="15" hidden="false" customHeight="false" outlineLevel="0" collapsed="false">
      <c r="A5" s="5" t="s">
        <v>4</v>
      </c>
      <c r="B5" s="5"/>
      <c r="C5" s="5"/>
      <c r="D5" s="5"/>
      <c r="E5" s="5"/>
    </row>
    <row r="6" customFormat="false" ht="15" hidden="false" customHeight="false" outlineLevel="0" collapsed="false">
      <c r="A6" s="6" t="s">
        <v>5</v>
      </c>
      <c r="B6" s="6"/>
      <c r="C6" s="6"/>
      <c r="D6" s="6"/>
      <c r="E6" s="6"/>
    </row>
    <row r="8" customFormat="false" ht="15" hidden="false" customHeight="false" outlineLevel="0" collapsed="false">
      <c r="A8" s="5" t="s">
        <v>6</v>
      </c>
      <c r="B8" s="5"/>
      <c r="C8" s="5"/>
      <c r="D8" s="5"/>
      <c r="E8" s="5"/>
    </row>
    <row r="9" customFormat="false" ht="15" hidden="false" customHeight="false" outlineLevel="0" collapsed="false">
      <c r="A9" s="7" t="s">
        <v>7</v>
      </c>
      <c r="B9" s="8" t="n">
        <v>3</v>
      </c>
    </row>
    <row r="10" customFormat="false" ht="15" hidden="false" customHeight="false" outlineLevel="0" collapsed="false">
      <c r="A10" s="7" t="s">
        <v>8</v>
      </c>
      <c r="B10" s="8" t="n">
        <v>100</v>
      </c>
    </row>
    <row r="11" customFormat="false" ht="15" hidden="false" customHeight="false" outlineLevel="0" collapsed="false">
      <c r="A11" s="7" t="s">
        <v>9</v>
      </c>
      <c r="B11" s="8" t="n">
        <v>500</v>
      </c>
    </row>
    <row r="12" customFormat="false" ht="15" hidden="false" customHeight="false" outlineLevel="0" collapsed="false">
      <c r="A12" s="7" t="s">
        <v>10</v>
      </c>
      <c r="B12" s="9" t="n">
        <v>200</v>
      </c>
    </row>
    <row r="13" customFormat="false" ht="15" hidden="false" customHeight="false" outlineLevel="0" collapsed="false">
      <c r="A13" s="7" t="s">
        <v>11</v>
      </c>
      <c r="B13" s="10" t="n">
        <v>4.33</v>
      </c>
    </row>
    <row r="14" customFormat="false" ht="15" hidden="false" customHeight="false" outlineLevel="0" collapsed="false">
      <c r="A14" s="7" t="s">
        <v>12</v>
      </c>
      <c r="B14" s="11" t="n">
        <v>9</v>
      </c>
    </row>
    <row r="15" customFormat="false" ht="15" hidden="false" customHeight="false" outlineLevel="0" collapsed="false">
      <c r="A15" s="7" t="s">
        <v>13</v>
      </c>
      <c r="B15" s="11" t="n">
        <v>7</v>
      </c>
    </row>
    <row r="16" customFormat="false" ht="15" hidden="false" customHeight="false" outlineLevel="0" collapsed="false">
      <c r="A16" s="7" t="s">
        <v>14</v>
      </c>
      <c r="B16" s="11" t="n">
        <v>10</v>
      </c>
    </row>
    <row r="18" customFormat="false" ht="15" hidden="false" customHeight="false" outlineLevel="0" collapsed="false">
      <c r="A18" s="5" t="s">
        <v>15</v>
      </c>
      <c r="B18" s="5"/>
      <c r="C18" s="5"/>
      <c r="D18" s="5"/>
      <c r="E18" s="5"/>
    </row>
    <row r="19" customFormat="false" ht="26.85" hidden="false" customHeight="false" outlineLevel="0" collapsed="false">
      <c r="A19" s="12" t="s">
        <v>16</v>
      </c>
      <c r="B19" s="12" t="s">
        <v>17</v>
      </c>
      <c r="C19" s="12" t="s">
        <v>18</v>
      </c>
      <c r="D19" s="12" t="s">
        <v>19</v>
      </c>
    </row>
    <row r="20" customFormat="false" ht="15" hidden="false" customHeight="false" outlineLevel="0" collapsed="false">
      <c r="A20" s="13" t="s">
        <v>20</v>
      </c>
      <c r="B20" s="7" t="s">
        <v>21</v>
      </c>
      <c r="C20" s="14" t="n">
        <f aca="false">B9*B13</f>
        <v>12.99</v>
      </c>
      <c r="D20" s="15" t="n">
        <f aca="false">B9*B12*B13</f>
        <v>2598</v>
      </c>
    </row>
    <row r="21" customFormat="false" ht="15" hidden="false" customHeight="false" outlineLevel="0" collapsed="false">
      <c r="A21" s="13" t="s">
        <v>22</v>
      </c>
      <c r="B21" s="7" t="s">
        <v>23</v>
      </c>
      <c r="C21" s="14" t="n">
        <f aca="false">30/B14</f>
        <v>3.33333333333333</v>
      </c>
      <c r="D21" s="15" t="n">
        <f aca="false">B12*(30/B14)</f>
        <v>666.666666666667</v>
      </c>
    </row>
    <row r="23" customFormat="false" ht="15" hidden="false" customHeight="false" outlineLevel="0" collapsed="false">
      <c r="A23" s="6" t="s">
        <v>24</v>
      </c>
      <c r="B23" s="6"/>
      <c r="C23" s="6"/>
      <c r="D23" s="6"/>
    </row>
    <row r="24" customFormat="false" ht="15" hidden="false" customHeight="false" outlineLevel="0" collapsed="false">
      <c r="A24" s="7" t="s">
        <v>25</v>
      </c>
      <c r="B24" s="16"/>
      <c r="C24" s="16"/>
      <c r="D24" s="15" t="n">
        <f aca="false">B12*(30/B15)</f>
        <v>857.142857142857</v>
      </c>
    </row>
    <row r="25" customFormat="false" ht="15" hidden="false" customHeight="false" outlineLevel="0" collapsed="false">
      <c r="A25" s="7" t="s">
        <v>26</v>
      </c>
      <c r="B25" s="16"/>
      <c r="C25" s="16"/>
      <c r="D25" s="15" t="n">
        <f aca="false">B12*(30/B16)</f>
        <v>600</v>
      </c>
    </row>
    <row r="27" customFormat="false" ht="15" hidden="false" customHeight="false" outlineLevel="0" collapsed="false">
      <c r="A27" s="17" t="s">
        <v>27</v>
      </c>
      <c r="D27" s="18" t="n">
        <f aca="false">D20-D21</f>
        <v>1931.33333333333</v>
      </c>
    </row>
    <row r="28" customFormat="false" ht="15" hidden="false" customHeight="false" outlineLevel="0" collapsed="false">
      <c r="A28" s="17" t="s">
        <v>28</v>
      </c>
      <c r="D28" s="19" t="n">
        <f aca="false">D27/D20</f>
        <v>0.743392353092122</v>
      </c>
    </row>
    <row r="30" customFormat="false" ht="15" hidden="false" customHeight="false" outlineLevel="0" collapsed="false">
      <c r="A30" s="20" t="s">
        <v>29</v>
      </c>
      <c r="B30" s="20"/>
      <c r="C30" s="20"/>
      <c r="D30" s="20"/>
      <c r="E30" s="20"/>
    </row>
  </sheetData>
  <mergeCells count="7">
    <mergeCell ref="A1:E1"/>
    <mergeCell ref="A5:E5"/>
    <mergeCell ref="A6:E6"/>
    <mergeCell ref="A8:E8"/>
    <mergeCell ref="A18:E18"/>
    <mergeCell ref="A23:D23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2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27.7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6" t="s">
        <v>32</v>
      </c>
      <c r="B4" s="6"/>
      <c r="C4" s="6"/>
      <c r="D4" s="6"/>
      <c r="E4" s="6"/>
      <c r="F4" s="6"/>
      <c r="G4" s="6"/>
    </row>
    <row r="5" customFormat="false" ht="15" hidden="false" customHeight="false" outlineLevel="0" collapsed="false">
      <c r="A5" s="6" t="s">
        <v>33</v>
      </c>
      <c r="B5" s="6"/>
      <c r="C5" s="6"/>
      <c r="D5" s="6"/>
      <c r="E5" s="6"/>
      <c r="F5" s="6"/>
      <c r="G5" s="6"/>
    </row>
    <row r="7" customFormat="false" ht="26.85" hidden="false" customHeight="false" outlineLevel="0" collapsed="false">
      <c r="A7" s="12" t="s">
        <v>34</v>
      </c>
      <c r="B7" s="12" t="s">
        <v>35</v>
      </c>
      <c r="C7" s="12" t="s">
        <v>36</v>
      </c>
      <c r="D7" s="12" t="s">
        <v>37</v>
      </c>
      <c r="E7" s="12" t="s">
        <v>38</v>
      </c>
      <c r="F7" s="12" t="s">
        <v>39</v>
      </c>
      <c r="G7" s="12" t="s">
        <v>40</v>
      </c>
    </row>
    <row r="8" customFormat="false" ht="15" hidden="false" customHeight="false" outlineLevel="0" collapsed="false">
      <c r="A8" s="21" t="s">
        <v>41</v>
      </c>
      <c r="B8" s="22" t="s">
        <v>42</v>
      </c>
      <c r="C8" s="22" t="s">
        <v>43</v>
      </c>
      <c r="D8" s="22" t="s">
        <v>42</v>
      </c>
      <c r="E8" s="22" t="s">
        <v>42</v>
      </c>
      <c r="F8" s="22" t="s">
        <v>43</v>
      </c>
      <c r="G8" s="15" t="n">
        <f aca="false">COUNTIF(B8:F8,"Si")*'Resumen y Comparacion'!$B$12</f>
        <v>600</v>
      </c>
    </row>
    <row r="9" customFormat="false" ht="15" hidden="false" customHeight="false" outlineLevel="0" collapsed="false">
      <c r="A9" s="21" t="s">
        <v>44</v>
      </c>
      <c r="B9" s="22" t="s">
        <v>43</v>
      </c>
      <c r="C9" s="22" t="s">
        <v>43</v>
      </c>
      <c r="D9" s="22" t="s">
        <v>42</v>
      </c>
      <c r="E9" s="22" t="s">
        <v>43</v>
      </c>
      <c r="F9" s="22" t="s">
        <v>43</v>
      </c>
      <c r="G9" s="15" t="n">
        <f aca="false">COUNTIF(B9:F9,"Si")*'Resumen y Comparacion'!$B$12</f>
        <v>200</v>
      </c>
    </row>
    <row r="10" customFormat="false" ht="15" hidden="false" customHeight="false" outlineLevel="0" collapsed="false">
      <c r="A10" s="21" t="s">
        <v>45</v>
      </c>
      <c r="B10" s="22" t="s">
        <v>42</v>
      </c>
      <c r="C10" s="22" t="s">
        <v>42</v>
      </c>
      <c r="D10" s="22" t="s">
        <v>43</v>
      </c>
      <c r="E10" s="22" t="s">
        <v>42</v>
      </c>
      <c r="F10" s="22" t="s">
        <v>43</v>
      </c>
      <c r="G10" s="15" t="n">
        <f aca="false">COUNTIF(B10:F10,"Si")*'Resumen y Comparacion'!$B$12</f>
        <v>600</v>
      </c>
    </row>
    <row r="11" customFormat="false" ht="15" hidden="false" customHeight="false" outlineLevel="0" collapsed="false">
      <c r="A11" s="23" t="s">
        <v>46</v>
      </c>
      <c r="B11" s="24"/>
      <c r="C11" s="24"/>
      <c r="D11" s="24"/>
      <c r="E11" s="24"/>
      <c r="F11" s="24"/>
      <c r="G11" s="25" t="n">
        <f aca="false">SUM(G8:G10)</f>
        <v>1400</v>
      </c>
    </row>
    <row r="13" customFormat="false" ht="15" hidden="false" customHeight="false" outlineLevel="0" collapsed="false">
      <c r="A13" s="20" t="s">
        <v>47</v>
      </c>
      <c r="B13" s="20"/>
      <c r="C13" s="20"/>
      <c r="D13" s="20"/>
      <c r="E13" s="20"/>
      <c r="F13" s="20"/>
      <c r="G13" s="26" t="n">
        <f aca="false">'Resumen y Comparacion'!$D$20</f>
        <v>2598</v>
      </c>
    </row>
  </sheetData>
  <mergeCells count="4">
    <mergeCell ref="A1:G1"/>
    <mergeCell ref="A4:G4"/>
    <mergeCell ref="A5:G5"/>
    <mergeCell ref="A13:F13"/>
  </mergeCells>
  <dataValidations count="1">
    <dataValidation allowBlank="false" errorStyle="stop" operator="between" showDropDown="false" showErrorMessage="false" showInputMessage="false" sqref="B8:F10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48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6" t="s">
        <v>49</v>
      </c>
      <c r="B4" s="6"/>
      <c r="C4" s="6"/>
      <c r="D4" s="6"/>
      <c r="E4" s="6"/>
      <c r="F4" s="6"/>
      <c r="G4" s="6"/>
      <c r="H4" s="6"/>
    </row>
    <row r="5" customFormat="false" ht="15" hidden="false" customHeight="false" outlineLevel="0" collapsed="false">
      <c r="A5" s="6" t="s">
        <v>50</v>
      </c>
      <c r="B5" s="6"/>
      <c r="C5" s="6"/>
      <c r="D5" s="6"/>
      <c r="E5" s="6"/>
      <c r="F5" s="6"/>
      <c r="G5" s="6"/>
      <c r="H5" s="6"/>
    </row>
    <row r="7" customFormat="false" ht="26.85" hidden="false" customHeight="false" outlineLevel="0" collapsed="false">
      <c r="A7" s="12" t="s">
        <v>51</v>
      </c>
      <c r="B7" s="12" t="s">
        <v>52</v>
      </c>
      <c r="C7" s="12" t="s">
        <v>53</v>
      </c>
      <c r="D7" s="12" t="s">
        <v>54</v>
      </c>
      <c r="E7" s="12" t="s">
        <v>55</v>
      </c>
      <c r="F7" s="12" t="s">
        <v>56</v>
      </c>
      <c r="G7" s="12" t="s">
        <v>57</v>
      </c>
      <c r="H7" s="12" t="s">
        <v>58</v>
      </c>
    </row>
    <row r="8" customFormat="false" ht="15" hidden="false" customHeight="false" outlineLevel="0" collapsed="false">
      <c r="A8" s="7" t="n">
        <v>1</v>
      </c>
      <c r="B8" s="27" t="n">
        <v>1</v>
      </c>
      <c r="C8" s="27" t="n">
        <v>7</v>
      </c>
      <c r="D8" s="28" t="n">
        <f aca="false">B8+C8-1</f>
        <v>7</v>
      </c>
      <c r="E8" s="29" t="str">
        <f aca="false">IF(C8&lt;='Resumen y Comparacion'!$B$16,"Si","No")</f>
        <v>Si</v>
      </c>
      <c r="F8" s="15" t="n">
        <f aca="false">IF(E8="Si",'Resumen y Comparacion'!$B$12,0)</f>
        <v>200</v>
      </c>
      <c r="G8" s="15" t="n">
        <f aca="false">F8/'Resumen y Comparacion'!$B$9</f>
        <v>66.6666666666667</v>
      </c>
      <c r="H8" s="29" t="str">
        <f aca="false">IF(D8&lt;=30,"Si","No")</f>
        <v>Si</v>
      </c>
    </row>
    <row r="9" customFormat="false" ht="15" hidden="false" customHeight="false" outlineLevel="0" collapsed="false">
      <c r="A9" s="7" t="n">
        <v>2</v>
      </c>
      <c r="B9" s="28" t="n">
        <f aca="false">D8+1</f>
        <v>8</v>
      </c>
      <c r="C9" s="27" t="n">
        <v>9</v>
      </c>
      <c r="D9" s="28" t="n">
        <f aca="false">B9+C9-1</f>
        <v>16</v>
      </c>
      <c r="E9" s="29" t="str">
        <f aca="false">IF(C9&lt;='Resumen y Comparacion'!$B$16,"Si","No")</f>
        <v>Si</v>
      </c>
      <c r="F9" s="15" t="n">
        <f aca="false">IF(E9="Si",'Resumen y Comparacion'!$B$12,0)</f>
        <v>200</v>
      </c>
      <c r="G9" s="15" t="n">
        <f aca="false">F9/'Resumen y Comparacion'!$B$9</f>
        <v>66.6666666666667</v>
      </c>
      <c r="H9" s="29" t="str">
        <f aca="false">IF(D9&lt;=30,"Si","No")</f>
        <v>Si</v>
      </c>
    </row>
    <row r="10" customFormat="false" ht="15" hidden="false" customHeight="false" outlineLevel="0" collapsed="false">
      <c r="A10" s="7" t="n">
        <v>3</v>
      </c>
      <c r="B10" s="28" t="n">
        <f aca="false">D9+1</f>
        <v>17</v>
      </c>
      <c r="C10" s="27" t="n">
        <v>8</v>
      </c>
      <c r="D10" s="28" t="n">
        <f aca="false">B10+C10-1</f>
        <v>24</v>
      </c>
      <c r="E10" s="29" t="str">
        <f aca="false">IF(C10&lt;='Resumen y Comparacion'!$B$16,"Si","No")</f>
        <v>Si</v>
      </c>
      <c r="F10" s="15" t="n">
        <f aca="false">IF(E10="Si",'Resumen y Comparacion'!$B$12,0)</f>
        <v>200</v>
      </c>
      <c r="G10" s="15" t="n">
        <f aca="false">F10/'Resumen y Comparacion'!$B$9</f>
        <v>66.6666666666667</v>
      </c>
      <c r="H10" s="29" t="str">
        <f aca="false">IF(D10&lt;=30,"Si","No")</f>
        <v>Si</v>
      </c>
    </row>
    <row r="11" customFormat="false" ht="15" hidden="false" customHeight="false" outlineLevel="0" collapsed="false">
      <c r="A11" s="7" t="n">
        <v>4</v>
      </c>
      <c r="B11" s="28" t="n">
        <f aca="false">D10+1</f>
        <v>25</v>
      </c>
      <c r="C11" s="27" t="n">
        <v>10</v>
      </c>
      <c r="D11" s="28" t="n">
        <f aca="false">B11+C11-1</f>
        <v>34</v>
      </c>
      <c r="E11" s="29" t="str">
        <f aca="false">IF(C11&lt;='Resumen y Comparacion'!$B$16,"Si","No")</f>
        <v>Si</v>
      </c>
      <c r="F11" s="15" t="n">
        <f aca="false">IF(E11="Si",'Resumen y Comparacion'!$B$12,0)</f>
        <v>200</v>
      </c>
      <c r="G11" s="15" t="n">
        <f aca="false">F11/'Resumen y Comparacion'!$B$9</f>
        <v>66.6666666666667</v>
      </c>
      <c r="H11" s="29" t="str">
        <f aca="false">IF(D11&lt;=30,"Si","No")</f>
        <v>No</v>
      </c>
    </row>
    <row r="12" customFormat="false" ht="15" hidden="false" customHeight="false" outlineLevel="0" collapsed="false">
      <c r="A12" s="7" t="n">
        <v>5</v>
      </c>
      <c r="B12" s="28" t="n">
        <f aca="false">D11+1</f>
        <v>35</v>
      </c>
      <c r="C12" s="27" t="n">
        <v>9</v>
      </c>
      <c r="D12" s="28" t="n">
        <f aca="false">B12+C12-1</f>
        <v>43</v>
      </c>
      <c r="E12" s="29" t="str">
        <f aca="false">IF(C12&lt;='Resumen y Comparacion'!$B$16,"Si","No")</f>
        <v>Si</v>
      </c>
      <c r="F12" s="15" t="n">
        <f aca="false">IF(E12="Si",'Resumen y Comparacion'!$B$12,0)</f>
        <v>200</v>
      </c>
      <c r="G12" s="15" t="n">
        <f aca="false">F12/'Resumen y Comparacion'!$B$9</f>
        <v>66.6666666666667</v>
      </c>
      <c r="H12" s="29" t="str">
        <f aca="false">IF(D12&lt;=30,"Si","No")</f>
        <v>No</v>
      </c>
    </row>
    <row r="13" customFormat="false" ht="15" hidden="false" customHeight="false" outlineLevel="0" collapsed="false">
      <c r="A13" s="7" t="n">
        <v>6</v>
      </c>
      <c r="B13" s="28" t="n">
        <f aca="false">D12+1</f>
        <v>44</v>
      </c>
      <c r="C13" s="27" t="n">
        <v>8</v>
      </c>
      <c r="D13" s="28" t="n">
        <f aca="false">B13+C13-1</f>
        <v>51</v>
      </c>
      <c r="E13" s="29" t="str">
        <f aca="false">IF(C13&lt;='Resumen y Comparacion'!$B$16,"Si","No")</f>
        <v>Si</v>
      </c>
      <c r="F13" s="15" t="n">
        <f aca="false">IF(E13="Si",'Resumen y Comparacion'!$B$12,0)</f>
        <v>200</v>
      </c>
      <c r="G13" s="15" t="n">
        <f aca="false">F13/'Resumen y Comparacion'!$B$9</f>
        <v>66.6666666666667</v>
      </c>
      <c r="H13" s="29" t="str">
        <f aca="false">IF(D13&lt;=30,"Si","No")</f>
        <v>No</v>
      </c>
    </row>
    <row r="15" customFormat="false" ht="15" hidden="false" customHeight="false" outlineLevel="0" collapsed="false">
      <c r="A15" s="5" t="s">
        <v>59</v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16" t="s">
        <v>60</v>
      </c>
      <c r="B16" s="16"/>
      <c r="C16" s="16"/>
      <c r="D16" s="30" t="n">
        <f aca="false">COUNTIF(H8:H13,"Si")</f>
        <v>3</v>
      </c>
    </row>
    <row r="17" customFormat="false" ht="15" hidden="false" customHeight="false" outlineLevel="0" collapsed="false">
      <c r="A17" s="16" t="s">
        <v>61</v>
      </c>
      <c r="B17" s="16"/>
      <c r="C17" s="16"/>
      <c r="D17" s="31" t="n">
        <f aca="false">SUMPRODUCT((H8:H13="Si")*F8:F13)</f>
        <v>600</v>
      </c>
    </row>
    <row r="18" customFormat="false" ht="15" hidden="false" customHeight="false" outlineLevel="0" collapsed="false">
      <c r="A18" s="16" t="s">
        <v>62</v>
      </c>
      <c r="B18" s="16"/>
      <c r="C18" s="16"/>
      <c r="D18" s="32" t="n">
        <f aca="false">AVERAGEIF(E8:E13,"Si",C8:C13)</f>
        <v>8.5</v>
      </c>
    </row>
    <row r="19" customFormat="false" ht="15" hidden="false" customHeight="false" outlineLevel="0" collapsed="false">
      <c r="A19" s="16" t="s">
        <v>63</v>
      </c>
      <c r="B19" s="16"/>
      <c r="C19" s="16"/>
      <c r="D19" s="15" t="n">
        <f aca="false">'Resumen y Comparacion'!$D$21</f>
        <v>666.666666666667</v>
      </c>
    </row>
    <row r="21" customFormat="false" ht="15" hidden="false" customHeight="false" outlineLevel="0" collapsed="false">
      <c r="A21" s="20" t="s">
        <v>64</v>
      </c>
      <c r="B21" s="20"/>
      <c r="C21" s="20"/>
      <c r="D21" s="20"/>
      <c r="E21" s="20"/>
      <c r="F21" s="20"/>
      <c r="G21" s="20"/>
      <c r="H21" s="20"/>
    </row>
  </sheetData>
  <mergeCells count="5">
    <mergeCell ref="A1:H1"/>
    <mergeCell ref="A4:H4"/>
    <mergeCell ref="A5:H5"/>
    <mergeCell ref="A15:H15"/>
    <mergeCell ref="A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2026-09-21T15:36:39Z</dcterms:created>
  <dc:creator>openpyxl</dc:creator>
  <dc:description/>
  <dc:language>en-US</dc:language>
  <cp:lastModifiedBy/>
  <dcterms:modified xsi:type="dcterms:W3CDTF">2026-09-21T15:37:38Z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