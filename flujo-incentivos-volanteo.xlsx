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Escenario Actual" sheetId="2" state="visible" r:id="rId4"/>
    <sheet name="Estrategias por Quincena" sheetId="3" state="visible" r:id="rId5"/>
    <sheet name="Datos de Campo (Rodrigo)" sheetId="4" state="visible" r:id="rId6"/>
    <sheet name="Analisis Real y Calculadora" sheetId="5" state="visible" r:id="rId7"/>
    <sheet name="Reunion Marcia (28 set)"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<sst xmlns="http://schemas.openxmlformats.org/spreadsheetml/2006/main" count="186" uniqueCount="168">
  <si>
    <t xml:space="preserve">Incentivos de Volanteo - Escenario Actual y Estrategias de Pago</t>
  </si>
  <si>
    <t xml:space="preserve">Leyenda:</t>
  </si>
  <si>
    <t xml:space="preserve">Celda editable</t>
  </si>
  <si>
    <t xml:space="preserve">Celda calculada</t>
  </si>
  <si>
    <t xml:space="preserve">Regla base (no cambia en ninguna estrategia): 500 volanteos registrados y validados por TODO el equipo = S/200 de bono. Ya no existe un bono individual por persona.</t>
  </si>
  <si>
    <t xml:space="preserve">PARAMETROS</t>
  </si>
  <si>
    <t xml:space="preserve">Bono total por hito de 500 (S/)</t>
  </si>
  <si>
    <t xml:space="preserve">Umbral de avance intermedio (volanteos)</t>
  </si>
  <si>
    <t xml:space="preserve">Umbral final (volanteos)</t>
  </si>
  <si>
    <t xml:space="preserve">Estrategia 1 - Tramo 1 (S/)</t>
  </si>
  <si>
    <t xml:space="preserve">Estrategia 1 - Tramo 2 (S/)</t>
  </si>
  <si>
    <t xml:space="preserve">Estrategia 3 - Anticipo (S/)</t>
  </si>
  <si>
    <t xml:space="preserve">Estrategia 3 - Saldo (S/)</t>
  </si>
  <si>
    <t xml:space="preserve">Dias del ciclo actual (ventana maxima)</t>
  </si>
  <si>
    <t xml:space="preserve">Dias promedio real del ciclo actual</t>
  </si>
  <si>
    <t xml:space="preserve">Dias de la quincena (estrategias 1, 2 y 3)</t>
  </si>
  <si>
    <t xml:space="preserve">COMPARACION</t>
  </si>
  <si>
    <t xml:space="preserve">Opcion</t>
  </si>
  <si>
    <t xml:space="preserve">Estructura del bono</t>
  </si>
  <si>
    <t xml:space="preserve">Pagos maximos / mes</t>
  </si>
  <si>
    <t xml:space="preserve">Costo mensual estimado (S/)</t>
  </si>
  <si>
    <t xml:space="preserve">Escenario actual</t>
  </si>
  <si>
    <t xml:space="preserve">Pago unico S/200 cada 7-10 dias</t>
  </si>
  <si>
    <t xml:space="preserve">Estrategia 1 - Tramos iguales</t>
  </si>
  <si>
    <t xml:space="preserve">S/100 + S/100 por quincena</t>
  </si>
  <si>
    <t xml:space="preserve">Estrategia 2 - Ventana larga</t>
  </si>
  <si>
    <t xml:space="preserve">Pago unico S/200 por quincena</t>
  </si>
  <si>
    <t xml:space="preserve">Estrategia 3 - Anticipo + saldo</t>
  </si>
  <si>
    <t xml:space="preserve">S/70 + S/130 por quincena</t>
  </si>
  <si>
    <t xml:space="preserve">Techo natural de gasto con pago quincenal (2 pagos maximo/mes)</t>
  </si>
  <si>
    <t xml:space="preserve">Costo si el ciclo actual fuera siempre de 7 dias (peor caso para el bolsillo)</t>
  </si>
  <si>
    <t xml:space="preserve">Nota: las 3 estrategias no bajan el monto del bono (sigue siendo S/200 por hito), solo cambian cuando y en cuantas partes se paga. Al limitar el pago a la fecha de planilla quincenal, el gasto mensual queda topado en 2 pagos, sin importar que tan rapido cumpla el equipo.</t>
  </si>
  <si>
    <t xml:space="preserve">Escenario Actual - Bitacora de Ciclos Reales</t>
  </si>
  <si>
    <t xml:space="preserve">Como se usa:</t>
  </si>
  <si>
    <t xml:space="preserve">Cada fila es un ciclo real. Anota cuantos dias tardo TODO el equipo en juntar 500 volanteos registrados.</t>
  </si>
  <si>
    <t xml:space="preserve">Ciclo</t>
  </si>
  <si>
    <t xml:space="preserve">Dia de inicio</t>
  </si>
  <si>
    <t xml:space="preserve">Dias que tardaron en llegar a 500</t>
  </si>
  <si>
    <t xml:space="preserve">Dia de corte</t>
  </si>
  <si>
    <t xml:space="preserve">Llego dentro de la ventana?</t>
  </si>
  <si>
    <t xml:space="preserve">Bono pagado (S/)</t>
  </si>
  <si>
    <t xml:space="preserve">Dentro del mes (dia &lt;= 30)?</t>
  </si>
  <si>
    <t xml:space="preserve">RESUMEN DEL MES</t>
  </si>
  <si>
    <t xml:space="preserve">Ciclos que cerraron dentro del mes</t>
  </si>
  <si>
    <t xml:space="preserve">Bono total pagado en el mes (S/)</t>
  </si>
  <si>
    <t xml:space="preserve">Comparacion de las 3 Estrategias, Quincena a Quincena</t>
  </si>
  <si>
    <t xml:space="preserve">Por cada quincena, anota en que dia (1 a 15) el equipo llego a 300 y a 500 volanteos registrados. Deja en blanco si no llegaron. Las 3 estrategias se calculan solas, a partir de los mismos 2 datos.</t>
  </si>
  <si>
    <t xml:space="preserve">Quincena</t>
  </si>
  <si>
    <t xml:space="preserve">Dia en que llegaron a 300 (1-15)</t>
  </si>
  <si>
    <t xml:space="preserve">Dia en que llegaron a 500 (1-15)</t>
  </si>
  <si>
    <t xml:space="preserve">Pago Estrategia 1 (S/)</t>
  </si>
  <si>
    <t xml:space="preserve">Pago Estrategia 2 (S/)</t>
  </si>
  <si>
    <t xml:space="preserve">Pago Estrategia 3 (S/)</t>
  </si>
  <si>
    <t xml:space="preserve">TOTAL</t>
  </si>
  <si>
    <t xml:space="preserve">Promedio mensual (2 quincenas = 1 mes)</t>
  </si>
  <si>
    <t xml:space="preserve">Nota: con estos 4 ejemplos (2 meses), se ve que las 3 estrategias reparten el mismo dinero de forma distinta segun que tan rapido llega el equipo a cada umbral. Cambia los dias de ejemplo por tus datos reales para comparar.</t>
  </si>
  <si>
    <t xml:space="preserve">Datos de Campo - Reunion con Rodrigo (24 set.)</t>
  </si>
  <si>
    <t xml:space="preserve">PARAMETROS REALES</t>
  </si>
  <si>
    <t xml:space="preserve">Personas fijas confirmadas (Marcia)</t>
  </si>
  <si>
    <t xml:space="preserve">Meta individual (volanteos/persona/dia)</t>
  </si>
  <si>
    <t xml:space="preserve">Sueldo minimo mensual referencial (S/)</t>
  </si>
  <si>
    <t xml:space="preserve">Dias laborables / mes (para el asesor)</t>
  </si>
  <si>
    <t xml:space="preserve">Comision sugerida por afiliacion al asesor (S/)</t>
  </si>
  <si>
    <t xml:space="preserve">Bono de equipo en negociacion - minimo (S//dia)</t>
  </si>
  <si>
    <t xml:space="preserve">Bono de equipo en negociacion - recomendado (S//dia)</t>
  </si>
  <si>
    <t xml:space="preserve">Bono de equipo en negociacion - maximo (S//dia)</t>
  </si>
  <si>
    <t xml:space="preserve">Dias de pago considerados por semana</t>
  </si>
  <si>
    <t xml:space="preserve">Dias que trabaja el equipo por mes</t>
  </si>
  <si>
    <t xml:space="preserve">PISO ECONOMICO (sanity check de la meta)</t>
  </si>
  <si>
    <t xml:space="preserve">Sueldo minimo por dia (S/)</t>
  </si>
  <si>
    <t xml:space="preserve">Afiliaciones/dia necesarias para igualar el sueldo minimo (a la comision de arriba)</t>
  </si>
  <si>
    <t xml:space="preserve">Equivalente por hora (jornada de 8h)</t>
  </si>
  <si>
    <t xml:space="preserve">Meta de 100/dia vs. ese piso (veces)</t>
  </si>
  <si>
    <t xml:space="preserve">BONO DE EQUIPO - EQUIVALENTES</t>
  </si>
  <si>
    <t xml:space="preserve">Minimo</t>
  </si>
  <si>
    <t xml:space="preserve">Recomendado</t>
  </si>
  <si>
    <t xml:space="preserve">Maximo</t>
  </si>
  <si>
    <t xml:space="preserve">Por dia (S/)</t>
  </si>
  <si>
    <t xml:space="preserve">Por semana (S/)</t>
  </si>
  <si>
    <t xml:space="preserve">Por mes (S/)</t>
  </si>
  <si>
    <t xml:space="preserve">RECOMENDACIONES OPERATIVAS DE LA LLAMADA</t>
  </si>
  <si>
    <t xml:space="preserve">Horario recomendado</t>
  </si>
  <si>
    <t xml:space="preserve">Casi no hay movimiento en la manana; sube desde el mediodia y el pico mas alto es a las 7:00 p.m., con buen movimiento entre 5 y 9 p.m. Sugerencia: turnos de 12 p.m. a 9 p.m. (o 1 a 9), en vez de horario de oficina.</t>
  </si>
  <si>
    <t xml:space="preserve">Elegibilidad ampliada</t>
  </si>
  <si>
    <t xml:space="preserve">El bono ya no aplica solo a afiliaciones GNV: ahora cuenta la afiliacion de cualquier tipo de vehiculo, lo que hace la meta mas facil de alcanzar.</t>
  </si>
  <si>
    <t xml:space="preserve">Quien decide el reparto interno</t>
  </si>
  <si>
    <t xml:space="preserve">Nosotros damos el bono de equipo y los datos de horas pico. Como Marcia reparte ese dinero entre sus 8 fijos y como arma los turnos, es decision de ella.</t>
  </si>
  <si>
    <t xml:space="preserve">NOTA DE RECONCILIACION CON LA HOJA 'RESUMEN'</t>
  </si>
  <si>
    <t xml:space="preserve">Este bono de equipo (S/120-160/dia, recomendado S/150) es la cifra real que salio de la negociacion con Marcia y con Rodrigo. Reemplaza al S/200 por cada 500 volanteos que se uso como referencia inicial en la hoja 'Resumen'. Antes de tomar una decision final con las hojas 'Escenario Actual' y 'Estrategias por Quincena', actualiza el parametro 'Bono total por hito' de la hoja Resumen con el monto que se termine de negociar aqui, y ajusta 'Numero de personas fijas' a 8 donde aplique.</t>
  </si>
  <si>
    <t xml:space="preserve">Analisis Real de Afiliaciones y Calculadora de Meta</t>
  </si>
  <si>
    <t xml:space="preserve">DATOS REALES - EQUIPO FIJO DE MARCIA (por semana)</t>
  </si>
  <si>
    <t xml:space="preserve">Semana</t>
  </si>
  <si>
    <t xml:space="preserve">Rango de fechas</t>
  </si>
  <si>
    <t xml:space="preserve">Afiliaciones reales</t>
  </si>
  <si>
    <t xml:space="preserve">Semana 1</t>
  </si>
  <si>
    <t xml:space="preserve">31 ago - 6 set</t>
  </si>
  <si>
    <t xml:space="preserve">Semana 2</t>
  </si>
  <si>
    <t xml:space="preserve">7 - 13 set</t>
  </si>
  <si>
    <t xml:space="preserve">Semana 3</t>
  </si>
  <si>
    <t xml:space="preserve">14 - 20 set</t>
  </si>
  <si>
    <t xml:space="preserve">Semana 4</t>
  </si>
  <si>
    <t xml:space="preserve">21 - 27 set</t>
  </si>
  <si>
    <t xml:space="preserve">Promedio semanal real</t>
  </si>
  <si>
    <t xml:space="preserve">Minimo semanal real</t>
  </si>
  <si>
    <t xml:space="preserve">Maximo semanal real</t>
  </si>
  <si>
    <t xml:space="preserve">DATOS REALES - RED GENERAL DE SCOUTS (por semana completa)</t>
  </si>
  <si>
    <t xml:space="preserve">17 - 23 ago</t>
  </si>
  <si>
    <t xml:space="preserve">24 - 30 ago</t>
  </si>
  <si>
    <t xml:space="preserve">Semana 5</t>
  </si>
  <si>
    <t xml:space="preserve">Promedio / referencia (red de scouts)</t>
  </si>
  <si>
    <t xml:space="preserve">QUINCENAS REALES (2 semanas seguidas, equipo de Marcia)</t>
  </si>
  <si>
    <t xml:space="preserve">Suma de 2 semanas seguidas</t>
  </si>
  <si>
    <t xml:space="preserve">S1+S2</t>
  </si>
  <si>
    <t xml:space="preserve">S2+S3</t>
  </si>
  <si>
    <t xml:space="preserve">S3+S4</t>
  </si>
  <si>
    <t xml:space="preserve">Minimo / Maximo quincenal real</t>
  </si>
  <si>
    <t xml:space="preserve">PROYECCIONES (extrapoladas del ritmo semanal real)</t>
  </si>
  <si>
    <t xml:space="preserve">Semanas por mes (factor de extrapolacion)</t>
  </si>
  <si>
    <t xml:space="preserve">Minimo mensual estimado (= minimo semanal x semanas/mes)</t>
  </si>
  <si>
    <t xml:space="preserve">Maximo mensual estimado (= maximo semanal x semanas/mes)</t>
  </si>
  <si>
    <t xml:space="preserve">Minimo estimado a 2 meses</t>
  </si>
  <si>
    <t xml:space="preserve">Maximo estimado a 2 meses</t>
  </si>
  <si>
    <t xml:space="preserve">CALCULADORA - ELIGE UNA META (minimo 500, por regla del negocio)</t>
  </si>
  <si>
    <t xml:space="preserve">Meta de volanteos (minimo 500)</t>
  </si>
  <si>
    <t xml:space="preserve">Periodo (escribe: Semana, Quincena, Mes o Dos meses)</t>
  </si>
  <si>
    <t xml:space="preserve">Mes</t>
  </si>
  <si>
    <t xml:space="preserve">Bono por periodo cumplido (S/)</t>
  </si>
  <si>
    <t xml:space="preserve">RESULTADOS</t>
  </si>
  <si>
    <t xml:space="preserve">Minimo real/estimado de referencia</t>
  </si>
  <si>
    <t xml:space="preserve">Maximo real/estimado de referencia</t>
  </si>
  <si>
    <t xml:space="preserve">Factibilidad de la meta elegida</t>
  </si>
  <si>
    <t xml:space="preserve">Veces que se paga al mes</t>
  </si>
  <si>
    <t xml:space="preserve">Gasto total del mes (si cumplen cada periodo)</t>
  </si>
  <si>
    <t xml:space="preserve">Nota: la meta minima es 500 por regla del negocio. Semana y Quincena usan datos REALES; Mes y Dos meses son ESTIMADOS (se extrapola el rango semanal real x el factor de arriba), porque todavia no hay un mes completo de registros. Cambiar la META no cambia el gasto mensual (el bono siempre es S/200 por periodo cumplido, para todo el equipo); lo que cambia el gasto es el PERIODO elegido.</t>
  </si>
  <si>
    <t xml:space="preserve">Reunion con Marcia (proveedora) - 28 de Setiembre</t>
  </si>
  <si>
    <t xml:space="preserve">RESUMEN EJECUTIVO</t>
  </si>
  <si>
    <t xml:space="preserve">De los 8 fijos planeados, hoy Marcia tiene realmente activos a unos 4 (Claudia es la mas constante; Hector dejo de responder; Misael y Janet recien estarian por sumarse). El equipo completo esta rindiendo ~15 registros/dia ahora mismo, por debajo de su propio promedio historico de 20-25/dia, por la campana electoral municipal de este domingo: los conductores desconfian de dar su telefono o DNI porque piensan que es propaganda politica. Marcia espera que mejore desde el lunes siguiente a las elecciones.</t>
  </si>
  <si>
    <t xml:space="preserve">DATOS CLAVE</t>
  </si>
  <si>
    <t xml:space="preserve">Dato</t>
  </si>
  <si>
    <t xml:space="preserve">Valor</t>
  </si>
  <si>
    <t xml:space="preserve">Fijos activos hoy (de 8 planeados)</t>
  </si>
  <si>
    <t xml:space="preserve">~4</t>
  </si>
  <si>
    <t xml:space="preserve">Rendimiento del equipo hoy (bajo por elecciones)</t>
  </si>
  <si>
    <t xml:space="preserve">~15/dia</t>
  </si>
  <si>
    <t xml:space="preserve">Promedio historico del equipo (fijos, antes de elecciones)</t>
  </si>
  <si>
    <t xml:space="preserve">20-25/dia</t>
  </si>
  <si>
    <t xml:space="preserve">Mejor dia registrado, con activacion de Marcia</t>
  </si>
  <si>
    <t xml:space="preserve">hasta 60</t>
  </si>
  <si>
    <t xml:space="preserve">Claudia sola (sin activacion), jornada partida</t>
  </si>
  <si>
    <t xml:space="preserve">13-15/dia</t>
  </si>
  <si>
    <t xml:space="preserve">Claudia con activacion de Marcia (megafono, acompanada)</t>
  </si>
  <si>
    <t xml:space="preserve">25/dia (mejor dia)</t>
  </si>
  <si>
    <t xml:space="preserve">Grupo multimarca (10+ personas, aporte secundario)</t>
  </si>
  <si>
    <t xml:space="preserve">~20/dia combinado</t>
  </si>
  <si>
    <t xml:space="preserve">Joaquin (multimarca, mejor del grupo) solo</t>
  </si>
  <si>
    <t xml:space="preserve">1-3/dia</t>
  </si>
  <si>
    <t xml:space="preserve">Joaquin en activacion con apoyo de Marcia</t>
  </si>
  <si>
    <t xml:space="preserve">~13/dia</t>
  </si>
  <si>
    <t xml:space="preserve">ESTRUCTURA DEL EQUIPO</t>
  </si>
  <si>
    <t xml:space="preserve">Fijos: exclusivos, con polo y merchandise, pagados a diario (Claudia) o semanal (el resto). Multimarca: mas de 10 personas que ya trabajan para InDrive, Cabify, Didi, etc. Nos atienden como algo secundario (priorizan su marca principal), asi que cada uno rinde menos, pero entre todos suman otro ~20/dia al total del equipo.</t>
  </si>
  <si>
    <t xml:space="preserve">EL EFECTO "ACTIVACION"</t>
  </si>
  <si>
    <t xml:space="preserve">Cuando Marcia sale a acompanar en campo (con megafono, mercadeo visible), el rendimiento individual casi se duplica: Claudia pasa de 13-15 sola a 25 acompanada; Joaquin (multimarca) pasa de 1-3 solo a 13 en activacion. Programar activaciones periodicas es una palanca real para subir el volumen del equipo, no solo depender de que cada quien trabaje solo.</t>
  </si>
  <si>
    <t xml:space="preserve">MEJORAS OPERATIVAS EN CURSO</t>
  </si>
  <si>
    <t xml:space="preserve">1) Chatbot: todavia no autocompleta el telefono del conductor, lo que obliga a pedirlo a mano y genera desconfianza; el equipo de Rodrigo lo esta arreglando. 2) Guion mas empatico para pedir datos personales (explicar que es para dar seguimiento y beneficios, no para mal uso). 3) Afiches en postes cerca de grifos (alcance limitado: llega a peatones, no tanto a conductores, pero bajo costo). 4) Mejorar la pagina de puntos/canje: hoy no explica bien el catalogo de premios, los sorteos ni los auspiciadores, lo que reduce el interes del conductor en afiliarse.</t>
  </si>
  <si>
    <t xml:space="preserve">ESTADO REAL DEL BONO</t>
  </si>
  <si>
    <t xml:space="preserve">El tramo de 500 registros ya se completo y el bono de S/200 YA FUE PAGADO. Marcia ya acumulo ~200 registros adicionales hacia el siguiente 500, y pidio directamente un ANTICIPO sobre ese avance para no quedar en deuda con su gente. Esto es una validacion real de que un esquema de tramos (Estrategia 1 o 3 de la pestana de estrategias) no es solo teoria: la proveedora ya lo esta pidiendo en la practica.</t>
  </si>
  <si>
    <t xml:space="preserve">A TENER EN CUENTA PARA LA ESTRATEGIA DE PAGO</t>
  </si>
  <si>
    <t xml:space="preserve">Rodrigo cerro la reunion diciendo que el incentivo adicional se esta afinando para evaluarse DE FORMA SEMANAL, no quincenal, porque Marcia paga a su gente a diario o semanal y necesita que el flujo de caja de la empresa calce con ese ritmo (ella misma lo pidio: podemos seguir el ritmo de pago semanal con los avances?). Esto no contradice el analisis de ahorro de la hoja de Estrategias, pero si sugiere que, en el corto plazo, lo mas practico es evaluar la Estrategia 1 o 3 de forma SEMANAL (no quincenal), aceptando algo mas de frecuencia de pago a cambio de no ahogar la caja de la proveedora.</t>
  </si>
</sst>
</file>

<file path=xl/styles.xml><?xml version="1.0" encoding="utf-8"?>
<styleSheet xmlns="http://schemas.openxmlformats.org/spreadsheetml/2006/main">
  <numFmts count="10">
    <numFmt numFmtId="164" formatCode="General"/>
    <numFmt numFmtId="165" formatCode="&quot;S/ &quot;#,##0;&quot;(S/ &quot;#,##0\);\-"/>
    <numFmt numFmtId="166" formatCode="#,##0;\(#,##0\);\-"/>
    <numFmt numFmtId="167" formatCode="0&quot; dias&quot;"/>
    <numFmt numFmtId="168" formatCode="0"/>
    <numFmt numFmtId="169" formatCode="&quot;S/ &quot;#,##0.0;&quot;(S/ &quot;#,##0.0\);\-"/>
    <numFmt numFmtId="170" formatCode="#,##0.0;\(#,##0.0\);\-"/>
    <numFmt numFmtId="171" formatCode="0.0\x"/>
    <numFmt numFmtId="172" formatCode="0.0"/>
    <numFmt numFmtId="173" formatCode="0.00"/>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1"/>
      <name val="Arial"/>
      <family val="0"/>
      <charset val="1"/>
    </font>
    <font>
      <sz val="11"/>
      <color rgb="FF008000"/>
      <name val="Arial"/>
      <family val="0"/>
      <charset val="1"/>
    </font>
    <font>
      <i val="true"/>
      <sz val="10"/>
      <name val="Arial"/>
      <family val="0"/>
      <charset val="1"/>
    </font>
    <font>
      <b val="true"/>
      <sz val="11"/>
      <color rgb="FF1F4E78"/>
      <name val="Arial"/>
      <family val="0"/>
      <charset val="1"/>
    </font>
    <font>
      <sz val="11"/>
      <color rgb="FF000000"/>
      <name val="Arial"/>
      <family val="0"/>
      <charset val="1"/>
    </font>
    <font>
      <sz val="11"/>
      <color rgb="FF0000FF"/>
      <name val="Arial"/>
      <family val="0"/>
      <charset val="1"/>
    </font>
    <font>
      <b val="true"/>
      <sz val="11"/>
      <color rgb="FFFFFFFF"/>
      <name val="Arial"/>
      <family val="0"/>
      <charset val="1"/>
    </font>
    <font>
      <b val="true"/>
      <sz val="11"/>
      <color rgb="FF375623"/>
      <name val="Arial"/>
      <family val="0"/>
      <charset val="1"/>
    </font>
    <font>
      <i val="true"/>
      <sz val="9"/>
      <name val="Arial"/>
      <family val="0"/>
      <charset val="1"/>
    </font>
    <font>
      <sz val="10"/>
      <name val="Arial"/>
      <family val="0"/>
      <charset val="1"/>
    </font>
    <font>
      <b val="true"/>
      <sz val="11"/>
      <color rgb="FF833C00"/>
      <name val="Arial"/>
      <family val="0"/>
      <charset val="1"/>
    </font>
  </fonts>
  <fills count="8">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D9E1F2"/>
        <bgColor rgb="FFE2EFDA"/>
      </patternFill>
    </fill>
    <fill>
      <patternFill patternType="solid">
        <fgColor rgb="FFE2EFDA"/>
        <bgColor rgb="FFF2F2F2"/>
      </patternFill>
    </fill>
    <fill>
      <patternFill patternType="solid">
        <fgColor rgb="FFF2F2F2"/>
        <bgColor rgb="FFE2EFDA"/>
      </patternFill>
    </fill>
    <fill>
      <patternFill patternType="solid">
        <fgColor rgb="FFFCE4D6"/>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general" vertical="bottom" textRotation="0" wrapText="false" indent="0" shrinkToFit="false"/>
      <protection locked="true" hidden="false"/>
    </xf>
    <xf numFmtId="166" fontId="10" fillId="3"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5" fontId="12" fillId="5"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5" fontId="12" fillId="5" borderId="1" xfId="0" applyFont="tru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5" fillId="6"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9" fontId="6" fillId="0" borderId="1" xfId="0" applyFont="true" applyBorder="true" applyAlignment="true" applyProtection="false">
      <alignment horizontal="general" vertical="bottom"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71" fontId="12" fillId="5"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15" fillId="7" borderId="0" xfId="0" applyFont="true" applyBorder="true" applyAlignment="true" applyProtection="false">
      <alignment horizontal="general" vertical="bottom" textRotation="0" wrapText="false" indent="0" shrinkToFit="false"/>
      <protection locked="true" hidden="false"/>
    </xf>
    <xf numFmtId="172" fontId="6" fillId="0" borderId="1" xfId="0" applyFont="true" applyBorder="true" applyAlignment="true" applyProtection="false">
      <alignment horizontal="general" vertical="bottom" textRotation="0" wrapText="false" indent="0" shrinkToFit="false"/>
      <protection locked="true" hidden="false"/>
    </xf>
    <xf numFmtId="173" fontId="10" fillId="3"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4" fontId="12" fillId="5" borderId="1" xfId="0" applyFont="true" applyBorder="true" applyAlignment="true" applyProtection="false">
      <alignment horizontal="general" vertical="bottom" textRotation="0" wrapText="false" indent="0" shrinkToFit="false"/>
      <protection locked="true" hidden="false"/>
    </xf>
    <xf numFmtId="164" fontId="8" fillId="4"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4" fillId="5" borderId="0" xfId="0" applyFont="true" applyBorder="true" applyAlignment="true" applyProtection="false">
      <alignment horizontal="general" vertical="top" textRotation="0" wrapText="true" indent="0" shrinkToFit="false"/>
      <protection locked="true" hidden="false"/>
    </xf>
    <xf numFmtId="164" fontId="15" fillId="7" borderId="0" xfId="0" applyFont="true" applyBorder="true" applyAlignment="false" applyProtection="false">
      <alignment horizontal="general" vertical="bottom" textRotation="0" wrapText="false" indent="0" shrinkToFit="false"/>
      <protection locked="true" hidden="false"/>
    </xf>
    <xf numFmtId="164" fontId="14" fillId="7"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833C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34"/>
    <col collapsed="false" customWidth="true" hidden="false" outlineLevel="0" max="3" min="3" style="1" width="18"/>
    <col collapsed="false" customWidth="true" hidden="false" outlineLevel="0" max="4" min="4" style="1" width="24"/>
    <col collapsed="false" customWidth="true" hidden="false" outlineLevel="0" max="5" min="5" style="1" width="4"/>
  </cols>
  <sheetData>
    <row r="1" customFormat="false" ht="27.75" hidden="false" customHeight="true" outlineLevel="0" collapsed="false">
      <c r="A1" s="2" t="s">
        <v>0</v>
      </c>
      <c r="B1" s="2"/>
      <c r="C1" s="2"/>
      <c r="D1" s="2"/>
      <c r="E1" s="2"/>
    </row>
    <row r="3" customFormat="false" ht="15" hidden="false" customHeight="true" outlineLevel="0" collapsed="false">
      <c r="A3" s="3" t="s">
        <v>1</v>
      </c>
      <c r="B3" s="4" t="s">
        <v>2</v>
      </c>
      <c r="D3" s="5" t="s">
        <v>3</v>
      </c>
    </row>
    <row r="5" customFormat="false" ht="15" hidden="false" customHeight="true" outlineLevel="0" collapsed="false">
      <c r="A5" s="6" t="s">
        <v>4</v>
      </c>
      <c r="B5" s="6"/>
      <c r="C5" s="6"/>
      <c r="D5" s="6"/>
      <c r="E5" s="6"/>
    </row>
    <row r="7" customFormat="false" ht="15" hidden="false" customHeight="true" outlineLevel="0" collapsed="false">
      <c r="A7" s="7" t="s">
        <v>5</v>
      </c>
      <c r="B7" s="7"/>
      <c r="C7" s="7"/>
      <c r="D7" s="7"/>
      <c r="E7" s="7"/>
    </row>
    <row r="8" customFormat="false" ht="15" hidden="false" customHeight="true" outlineLevel="0" collapsed="false">
      <c r="A8" s="8" t="s">
        <v>6</v>
      </c>
      <c r="B8" s="9" t="n">
        <v>200</v>
      </c>
    </row>
    <row r="9" customFormat="false" ht="15" hidden="false" customHeight="true" outlineLevel="0" collapsed="false">
      <c r="A9" s="8" t="s">
        <v>7</v>
      </c>
      <c r="B9" s="10" t="n">
        <v>300</v>
      </c>
    </row>
    <row r="10" customFormat="false" ht="15" hidden="false" customHeight="true" outlineLevel="0" collapsed="false">
      <c r="A10" s="8" t="s">
        <v>8</v>
      </c>
      <c r="B10" s="10" t="n">
        <v>500</v>
      </c>
    </row>
    <row r="11" customFormat="false" ht="15" hidden="false" customHeight="true" outlineLevel="0" collapsed="false">
      <c r="A11" s="8" t="s">
        <v>9</v>
      </c>
      <c r="B11" s="9" t="n">
        <v>100</v>
      </c>
    </row>
    <row r="12" customFormat="false" ht="15" hidden="false" customHeight="true" outlineLevel="0" collapsed="false">
      <c r="A12" s="8" t="s">
        <v>10</v>
      </c>
      <c r="B12" s="9" t="n">
        <v>100</v>
      </c>
    </row>
    <row r="13" customFormat="false" ht="15" hidden="false" customHeight="true" outlineLevel="0" collapsed="false">
      <c r="A13" s="8" t="s">
        <v>11</v>
      </c>
      <c r="B13" s="9" t="n">
        <v>70</v>
      </c>
    </row>
    <row r="14" customFormat="false" ht="15" hidden="false" customHeight="true" outlineLevel="0" collapsed="false">
      <c r="A14" s="8" t="s">
        <v>12</v>
      </c>
      <c r="B14" s="9" t="n">
        <v>130</v>
      </c>
    </row>
    <row r="15" customFormat="false" ht="15" hidden="false" customHeight="true" outlineLevel="0" collapsed="false">
      <c r="A15" s="8" t="s">
        <v>13</v>
      </c>
      <c r="B15" s="11" t="n">
        <v>10</v>
      </c>
    </row>
    <row r="16" customFormat="false" ht="15" hidden="false" customHeight="true" outlineLevel="0" collapsed="false">
      <c r="A16" s="8" t="s">
        <v>14</v>
      </c>
      <c r="B16" s="11" t="n">
        <v>9</v>
      </c>
    </row>
    <row r="17" customFormat="false" ht="15" hidden="false" customHeight="true" outlineLevel="0" collapsed="false">
      <c r="A17" s="8" t="s">
        <v>15</v>
      </c>
      <c r="B17" s="11" t="n">
        <v>15</v>
      </c>
    </row>
    <row r="19" customFormat="false" ht="15" hidden="false" customHeight="true" outlineLevel="0" collapsed="false">
      <c r="A19" s="7" t="s">
        <v>16</v>
      </c>
      <c r="B19" s="7"/>
      <c r="C19" s="7"/>
      <c r="D19" s="7"/>
      <c r="E19" s="7"/>
    </row>
    <row r="20" customFormat="false" ht="15" hidden="false" customHeight="true" outlineLevel="0" collapsed="false">
      <c r="A20" s="12" t="s">
        <v>17</v>
      </c>
      <c r="B20" s="12" t="s">
        <v>18</v>
      </c>
      <c r="C20" s="12" t="s">
        <v>19</v>
      </c>
      <c r="D20" s="12" t="s">
        <v>20</v>
      </c>
    </row>
    <row r="21" customFormat="false" ht="15" hidden="false" customHeight="true" outlineLevel="0" collapsed="false">
      <c r="A21" s="13" t="s">
        <v>21</v>
      </c>
      <c r="B21" s="8" t="s">
        <v>22</v>
      </c>
      <c r="C21" s="14" t="n">
        <f aca="false">30/B16</f>
        <v>3.33333333333333</v>
      </c>
      <c r="D21" s="15" t="n">
        <f aca="false">B8*(30/B16)</f>
        <v>666.666666666667</v>
      </c>
    </row>
    <row r="22" customFormat="false" ht="15" hidden="false" customHeight="true" outlineLevel="0" collapsed="false">
      <c r="A22" s="13" t="s">
        <v>23</v>
      </c>
      <c r="B22" s="8" t="s">
        <v>24</v>
      </c>
      <c r="C22" s="14" t="n">
        <f aca="false">2</f>
        <v>2</v>
      </c>
      <c r="D22" s="15" t="n">
        <f aca="false">(B11+B12)*2</f>
        <v>400</v>
      </c>
    </row>
    <row r="23" customFormat="false" ht="15" hidden="false" customHeight="true" outlineLevel="0" collapsed="false">
      <c r="A23" s="13" t="s">
        <v>25</v>
      </c>
      <c r="B23" s="8" t="s">
        <v>26</v>
      </c>
      <c r="C23" s="14" t="n">
        <f aca="false">2</f>
        <v>2</v>
      </c>
      <c r="D23" s="15" t="n">
        <f aca="false">B8*2</f>
        <v>400</v>
      </c>
    </row>
    <row r="24" customFormat="false" ht="15" hidden="false" customHeight="true" outlineLevel="0" collapsed="false">
      <c r="A24" s="13" t="s">
        <v>27</v>
      </c>
      <c r="B24" s="8" t="s">
        <v>28</v>
      </c>
      <c r="C24" s="14" t="n">
        <f aca="false">2</f>
        <v>2</v>
      </c>
      <c r="D24" s="15" t="n">
        <f aca="false">(B13+B14)*2</f>
        <v>400</v>
      </c>
    </row>
    <row r="26" customFormat="false" ht="15" hidden="false" customHeight="true" outlineLevel="0" collapsed="false">
      <c r="A26" s="16" t="s">
        <v>29</v>
      </c>
      <c r="D26" s="17" t="n">
        <f aca="false">B8*2</f>
        <v>400</v>
      </c>
    </row>
    <row r="27" customFormat="false" ht="15" hidden="false" customHeight="true" outlineLevel="0" collapsed="false">
      <c r="A27" s="18" t="s">
        <v>30</v>
      </c>
      <c r="D27" s="19" t="n">
        <f aca="false">B8*(30/7)</f>
        <v>857.142857142857</v>
      </c>
    </row>
    <row r="29" customFormat="false" ht="15" hidden="false" customHeight="true" outlineLevel="0" collapsed="false">
      <c r="A29" s="20" t="s">
        <v>31</v>
      </c>
      <c r="B29" s="20"/>
      <c r="C29" s="20"/>
      <c r="D29" s="20"/>
      <c r="E29" s="20"/>
    </row>
  </sheetData>
  <mergeCells count="5">
    <mergeCell ref="A1:E1"/>
    <mergeCell ref="A5:E5"/>
    <mergeCell ref="A7:E7"/>
    <mergeCell ref="A19:E19"/>
    <mergeCell ref="A29:E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2"/>
    <col collapsed="false" customWidth="true" hidden="false" outlineLevel="0" max="3" min="3" style="1" width="20"/>
    <col collapsed="false" customWidth="true" hidden="false" outlineLevel="0" max="4" min="4" style="1" width="12"/>
    <col collapsed="false" customWidth="true" hidden="false" outlineLevel="0" max="5" min="5" style="1" width="20"/>
    <col collapsed="false" customWidth="true" hidden="false" outlineLevel="0" max="6" min="6" style="1" width="16"/>
    <col collapsed="false" customWidth="true" hidden="false" outlineLevel="0" max="7" min="7" style="1" width="18"/>
  </cols>
  <sheetData>
    <row r="1" customFormat="false" ht="27.75" hidden="false" customHeight="true" outlineLevel="0" collapsed="false">
      <c r="A1" s="2" t="s">
        <v>32</v>
      </c>
      <c r="B1" s="2"/>
      <c r="C1" s="2"/>
      <c r="D1" s="2"/>
      <c r="E1" s="2"/>
      <c r="F1" s="2"/>
      <c r="G1" s="2"/>
      <c r="H1" s="2"/>
    </row>
    <row r="3" customFormat="false" ht="15" hidden="false" customHeight="true" outlineLevel="0" collapsed="false">
      <c r="A3" s="3" t="s">
        <v>33</v>
      </c>
    </row>
    <row r="4" customFormat="false" ht="15" hidden="false" customHeight="true" outlineLevel="0" collapsed="false">
      <c r="A4" s="6" t="s">
        <v>34</v>
      </c>
      <c r="B4" s="6"/>
      <c r="C4" s="6"/>
      <c r="D4" s="6"/>
      <c r="E4" s="6"/>
      <c r="F4" s="6"/>
      <c r="G4" s="6"/>
      <c r="H4" s="6"/>
    </row>
    <row r="6" customFormat="false" ht="26.25" hidden="false" customHeight="true" outlineLevel="0" collapsed="false">
      <c r="A6" s="12" t="s">
        <v>35</v>
      </c>
      <c r="B6" s="12" t="s">
        <v>36</v>
      </c>
      <c r="C6" s="12" t="s">
        <v>37</v>
      </c>
      <c r="D6" s="12" t="s">
        <v>38</v>
      </c>
      <c r="E6" s="12" t="s">
        <v>39</v>
      </c>
      <c r="F6" s="12" t="s">
        <v>40</v>
      </c>
      <c r="G6" s="12" t="s">
        <v>41</v>
      </c>
    </row>
    <row r="7" customFormat="false" ht="15" hidden="false" customHeight="true" outlineLevel="0" collapsed="false">
      <c r="A7" s="8" t="n">
        <v>1</v>
      </c>
      <c r="B7" s="11" t="n">
        <v>1</v>
      </c>
      <c r="C7" s="11" t="n">
        <v>7</v>
      </c>
      <c r="D7" s="21" t="n">
        <f aca="false">B7+C7-1</f>
        <v>7</v>
      </c>
      <c r="E7" s="22" t="str">
        <f aca="false">IF(C7&lt;=Resumen!$B$15,"Si","No")</f>
        <v>Si</v>
      </c>
      <c r="F7" s="15" t="n">
        <f aca="false">IF(E7="Si",Resumen!$B$8,0)</f>
        <v>200</v>
      </c>
      <c r="G7" s="22" t="str">
        <f aca="false">IF(D7&lt;=30,"Si","No")</f>
        <v>Si</v>
      </c>
    </row>
    <row r="8" customFormat="false" ht="15" hidden="false" customHeight="true" outlineLevel="0" collapsed="false">
      <c r="A8" s="8" t="n">
        <v>2</v>
      </c>
      <c r="B8" s="21" t="n">
        <f aca="false">D7+1</f>
        <v>8</v>
      </c>
      <c r="C8" s="11" t="n">
        <v>9</v>
      </c>
      <c r="D8" s="21" t="n">
        <f aca="false">B8+C8-1</f>
        <v>16</v>
      </c>
      <c r="E8" s="22" t="str">
        <f aca="false">IF(C8&lt;=Resumen!$B$15,"Si","No")</f>
        <v>Si</v>
      </c>
      <c r="F8" s="15" t="n">
        <f aca="false">IF(E8="Si",Resumen!$B$8,0)</f>
        <v>200</v>
      </c>
      <c r="G8" s="22" t="str">
        <f aca="false">IF(D8&lt;=30,"Si","No")</f>
        <v>Si</v>
      </c>
    </row>
    <row r="9" customFormat="false" ht="15" hidden="false" customHeight="true" outlineLevel="0" collapsed="false">
      <c r="A9" s="8" t="n">
        <v>3</v>
      </c>
      <c r="B9" s="21" t="n">
        <f aca="false">D8+1</f>
        <v>17</v>
      </c>
      <c r="C9" s="11" t="n">
        <v>8</v>
      </c>
      <c r="D9" s="21" t="n">
        <f aca="false">B9+C9-1</f>
        <v>24</v>
      </c>
      <c r="E9" s="22" t="str">
        <f aca="false">IF(C9&lt;=Resumen!$B$15,"Si","No")</f>
        <v>Si</v>
      </c>
      <c r="F9" s="15" t="n">
        <f aca="false">IF(E9="Si",Resumen!$B$8,0)</f>
        <v>200</v>
      </c>
      <c r="G9" s="22" t="str">
        <f aca="false">IF(D9&lt;=30,"Si","No")</f>
        <v>Si</v>
      </c>
    </row>
    <row r="10" customFormat="false" ht="15" hidden="false" customHeight="true" outlineLevel="0" collapsed="false">
      <c r="A10" s="8" t="n">
        <v>4</v>
      </c>
      <c r="B10" s="21" t="n">
        <f aca="false">D9+1</f>
        <v>25</v>
      </c>
      <c r="C10" s="11" t="n">
        <v>10</v>
      </c>
      <c r="D10" s="21" t="n">
        <f aca="false">B10+C10-1</f>
        <v>34</v>
      </c>
      <c r="E10" s="22" t="str">
        <f aca="false">IF(C10&lt;=Resumen!$B$15,"Si","No")</f>
        <v>Si</v>
      </c>
      <c r="F10" s="15" t="n">
        <f aca="false">IF(E10="Si",Resumen!$B$8,0)</f>
        <v>200</v>
      </c>
      <c r="G10" s="22" t="str">
        <f aca="false">IF(D10&lt;=30,"Si","No")</f>
        <v>No</v>
      </c>
    </row>
    <row r="11" customFormat="false" ht="15" hidden="false" customHeight="true" outlineLevel="0" collapsed="false">
      <c r="A11" s="8" t="n">
        <v>5</v>
      </c>
      <c r="B11" s="21" t="n">
        <f aca="false">D10+1</f>
        <v>35</v>
      </c>
      <c r="C11" s="11" t="n">
        <v>9</v>
      </c>
      <c r="D11" s="21" t="n">
        <f aca="false">B11+C11-1</f>
        <v>43</v>
      </c>
      <c r="E11" s="22" t="str">
        <f aca="false">IF(C11&lt;=Resumen!$B$15,"Si","No")</f>
        <v>Si</v>
      </c>
      <c r="F11" s="15" t="n">
        <f aca="false">IF(E11="Si",Resumen!$B$8,0)</f>
        <v>200</v>
      </c>
      <c r="G11" s="22" t="str">
        <f aca="false">IF(D11&lt;=30,"Si","No")</f>
        <v>No</v>
      </c>
    </row>
    <row r="12" customFormat="false" ht="15" hidden="false" customHeight="true" outlineLevel="0" collapsed="false">
      <c r="A12" s="8" t="n">
        <v>6</v>
      </c>
      <c r="B12" s="21" t="n">
        <f aca="false">D11+1</f>
        <v>44</v>
      </c>
      <c r="C12" s="11" t="n">
        <v>8</v>
      </c>
      <c r="D12" s="21" t="n">
        <f aca="false">B12+C12-1</f>
        <v>51</v>
      </c>
      <c r="E12" s="22" t="str">
        <f aca="false">IF(C12&lt;=Resumen!$B$15,"Si","No")</f>
        <v>Si</v>
      </c>
      <c r="F12" s="15" t="n">
        <f aca="false">IF(E12="Si",Resumen!$B$8,0)</f>
        <v>200</v>
      </c>
      <c r="G12" s="22" t="str">
        <f aca="false">IF(D12&lt;=30,"Si","No")</f>
        <v>No</v>
      </c>
    </row>
    <row r="14" customFormat="false" ht="15" hidden="false" customHeight="true" outlineLevel="0" collapsed="false">
      <c r="A14" s="7" t="s">
        <v>42</v>
      </c>
      <c r="B14" s="7"/>
      <c r="C14" s="7"/>
      <c r="D14" s="7"/>
      <c r="E14" s="7"/>
      <c r="F14" s="7"/>
      <c r="G14" s="7"/>
    </row>
    <row r="15" customFormat="false" ht="15" hidden="false" customHeight="true" outlineLevel="0" collapsed="false">
      <c r="A15" s="23" t="s">
        <v>43</v>
      </c>
      <c r="B15" s="23"/>
      <c r="C15" s="23"/>
      <c r="D15" s="24" t="n">
        <f aca="false">COUNTIF(G7:G12,"Si")</f>
        <v>3</v>
      </c>
    </row>
    <row r="16" customFormat="false" ht="15" hidden="false" customHeight="true" outlineLevel="0" collapsed="false">
      <c r="A16" s="23" t="s">
        <v>44</v>
      </c>
      <c r="B16" s="23"/>
      <c r="C16" s="23"/>
      <c r="D16" s="25" t="n">
        <f aca="false">SUMPRODUCT((G7:G12="Si")*F7:F12)</f>
        <v>600</v>
      </c>
    </row>
  </sheetData>
  <mergeCells count="3">
    <mergeCell ref="A1:H1"/>
    <mergeCell ref="A4:H4"/>
    <mergeCell ref="A14:G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3" min="2" style="1" width="26"/>
    <col collapsed="false" customWidth="true" hidden="false" outlineLevel="0" max="6" min="4" style="1" width="20"/>
  </cols>
  <sheetData>
    <row r="1" customFormat="false" ht="27.75" hidden="false" customHeight="true" outlineLevel="0" collapsed="false">
      <c r="A1" s="2" t="s">
        <v>45</v>
      </c>
      <c r="B1" s="2"/>
      <c r="C1" s="2"/>
      <c r="D1" s="2"/>
      <c r="E1" s="2"/>
      <c r="F1" s="2"/>
      <c r="G1" s="2"/>
      <c r="H1" s="2"/>
    </row>
    <row r="3" customFormat="false" ht="15" hidden="false" customHeight="true" outlineLevel="0" collapsed="false">
      <c r="A3" s="3" t="s">
        <v>33</v>
      </c>
    </row>
    <row r="4" customFormat="false" ht="15" hidden="false" customHeight="true" outlineLevel="0" collapsed="false">
      <c r="A4" s="6" t="s">
        <v>46</v>
      </c>
      <c r="B4" s="6"/>
      <c r="C4" s="6"/>
      <c r="D4" s="6"/>
      <c r="E4" s="6"/>
      <c r="F4" s="6"/>
      <c r="G4" s="6"/>
      <c r="H4" s="6"/>
    </row>
    <row r="6" customFormat="false" ht="15" hidden="false" customHeight="true" outlineLevel="0" collapsed="false">
      <c r="A6" s="12" t="s">
        <v>47</v>
      </c>
      <c r="B6" s="12" t="s">
        <v>48</v>
      </c>
      <c r="C6" s="12" t="s">
        <v>49</v>
      </c>
      <c r="D6" s="12" t="s">
        <v>50</v>
      </c>
      <c r="E6" s="12" t="s">
        <v>51</v>
      </c>
      <c r="F6" s="12" t="s">
        <v>52</v>
      </c>
    </row>
    <row r="7" customFormat="false" ht="15" hidden="false" customHeight="true" outlineLevel="0" collapsed="false">
      <c r="A7" s="8" t="n">
        <v>1</v>
      </c>
      <c r="B7" s="11" t="n">
        <v>6</v>
      </c>
      <c r="C7" s="11" t="n">
        <v>9</v>
      </c>
      <c r="D7" s="15" t="n">
        <f aca="false">IF(AND(ISNUMBER(B7),B7&lt;=Resumen!$B$17),Resumen!$B$11,0)+IF(AND(ISNUMBER(C7),C7&lt;=Resumen!$B$17),Resumen!$B$12,0)</f>
        <v>200</v>
      </c>
      <c r="E7" s="15" t="n">
        <f aca="false">IF(AND(ISNUMBER(C7),C7&lt;=Resumen!$B$17),Resumen!$B$8,0)</f>
        <v>200</v>
      </c>
      <c r="F7" s="15" t="n">
        <f aca="false">IF(AND(ISNUMBER(B7),B7&lt;=Resumen!$B$17),Resumen!$B$13,0)+IF(AND(ISNUMBER(C7),C7&lt;=Resumen!$B$17),Resumen!$B$14,0)</f>
        <v>200</v>
      </c>
    </row>
    <row r="8" customFormat="false" ht="15" hidden="false" customHeight="true" outlineLevel="0" collapsed="false">
      <c r="A8" s="8" t="n">
        <v>2</v>
      </c>
      <c r="B8" s="11" t="n">
        <v>8</v>
      </c>
      <c r="C8" s="11" t="n">
        <v>14</v>
      </c>
      <c r="D8" s="15" t="n">
        <f aca="false">IF(AND(ISNUMBER(B8),B8&lt;=Resumen!$B$17),Resumen!$B$11,0)+IF(AND(ISNUMBER(C8),C8&lt;=Resumen!$B$17),Resumen!$B$12,0)</f>
        <v>200</v>
      </c>
      <c r="E8" s="15" t="n">
        <f aca="false">IF(AND(ISNUMBER(C8),C8&lt;=Resumen!$B$17),Resumen!$B$8,0)</f>
        <v>200</v>
      </c>
      <c r="F8" s="15" t="n">
        <f aca="false">IF(AND(ISNUMBER(B8),B8&lt;=Resumen!$B$17),Resumen!$B$13,0)+IF(AND(ISNUMBER(C8),C8&lt;=Resumen!$B$17),Resumen!$B$14,0)</f>
        <v>200</v>
      </c>
    </row>
    <row r="9" customFormat="false" ht="15" hidden="false" customHeight="true" outlineLevel="0" collapsed="false">
      <c r="A9" s="8" t="n">
        <v>3</v>
      </c>
      <c r="B9" s="11" t="n">
        <v>5</v>
      </c>
      <c r="C9" s="11" t="n">
        <v>8</v>
      </c>
      <c r="D9" s="15" t="n">
        <f aca="false">IF(AND(ISNUMBER(B9),B9&lt;=Resumen!$B$17),Resumen!$B$11,0)+IF(AND(ISNUMBER(C9),C9&lt;=Resumen!$B$17),Resumen!$B$12,0)</f>
        <v>200</v>
      </c>
      <c r="E9" s="15" t="n">
        <f aca="false">IF(AND(ISNUMBER(C9),C9&lt;=Resumen!$B$17),Resumen!$B$8,0)</f>
        <v>200</v>
      </c>
      <c r="F9" s="15" t="n">
        <f aca="false">IF(AND(ISNUMBER(B9),B9&lt;=Resumen!$B$17),Resumen!$B$13,0)+IF(AND(ISNUMBER(C9),C9&lt;=Resumen!$B$17),Resumen!$B$14,0)</f>
        <v>200</v>
      </c>
    </row>
    <row r="10" customFormat="false" ht="15" hidden="false" customHeight="true" outlineLevel="0" collapsed="false">
      <c r="A10" s="8" t="n">
        <v>4</v>
      </c>
      <c r="B10" s="11" t="n">
        <v>9</v>
      </c>
      <c r="C10" s="11"/>
      <c r="D10" s="15" t="n">
        <f aca="false">IF(AND(ISNUMBER(B10),B10&lt;=Resumen!$B$17),Resumen!$B$11,0)+IF(AND(ISNUMBER(C10),C10&lt;=Resumen!$B$17),Resumen!$B$12,0)</f>
        <v>100</v>
      </c>
      <c r="E10" s="15" t="n">
        <f aca="false">IF(AND(ISNUMBER(C10),C10&lt;=Resumen!$B$17),Resumen!$B$8,0)</f>
        <v>0</v>
      </c>
      <c r="F10" s="15" t="n">
        <f aca="false">IF(AND(ISNUMBER(B10),B10&lt;=Resumen!$B$17),Resumen!$B$13,0)+IF(AND(ISNUMBER(C10),C10&lt;=Resumen!$B$17),Resumen!$B$14,0)</f>
        <v>70</v>
      </c>
    </row>
    <row r="11" customFormat="false" ht="15" hidden="false" customHeight="true" outlineLevel="0" collapsed="false">
      <c r="A11" s="26" t="s">
        <v>53</v>
      </c>
      <c r="B11" s="27"/>
      <c r="C11" s="27"/>
      <c r="D11" s="28" t="n">
        <f aca="false">SUM(D7:D10)</f>
        <v>700</v>
      </c>
      <c r="E11" s="28" t="n">
        <f aca="false">SUM(E7:E10)</f>
        <v>600</v>
      </c>
      <c r="F11" s="28" t="n">
        <f aca="false">SUM(F7:F10)</f>
        <v>670</v>
      </c>
    </row>
    <row r="13" customFormat="false" ht="15" hidden="false" customHeight="true" outlineLevel="0" collapsed="false">
      <c r="A13" s="29" t="s">
        <v>54</v>
      </c>
      <c r="B13" s="23"/>
      <c r="C13" s="23"/>
      <c r="D13" s="25" t="n">
        <f aca="false">D11/(4/2)</f>
        <v>350</v>
      </c>
      <c r="E13" s="25" t="n">
        <f aca="false">E11/(4/2)</f>
        <v>300</v>
      </c>
      <c r="F13" s="25" t="n">
        <f aca="false">F11/(4/2)</f>
        <v>335</v>
      </c>
    </row>
    <row r="15" customFormat="false" ht="15" hidden="false" customHeight="true" outlineLevel="0" collapsed="false">
      <c r="A15" s="20" t="s">
        <v>55</v>
      </c>
      <c r="B15" s="20"/>
      <c r="C15" s="20"/>
      <c r="D15" s="20"/>
      <c r="E15" s="20"/>
      <c r="F15" s="20"/>
      <c r="G15" s="20"/>
      <c r="H15" s="20"/>
    </row>
  </sheetData>
  <mergeCells count="3">
    <mergeCell ref="A1:H1"/>
    <mergeCell ref="A4:H4"/>
    <mergeCell ref="A15:H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0"/>
    <col collapsed="false" customWidth="true" hidden="false" outlineLevel="0" max="4" min="2" style="1" width="16"/>
  </cols>
  <sheetData>
    <row r="1" customFormat="false" ht="27.75" hidden="false" customHeight="true" outlineLevel="0" collapsed="false">
      <c r="A1" s="2" t="s">
        <v>56</v>
      </c>
      <c r="B1" s="2"/>
      <c r="C1" s="2"/>
      <c r="D1" s="2"/>
    </row>
    <row r="3" customFormat="false" ht="15" hidden="false" customHeight="true" outlineLevel="0" collapsed="false">
      <c r="A3" s="3" t="s">
        <v>1</v>
      </c>
      <c r="B3" s="4" t="s">
        <v>2</v>
      </c>
      <c r="D3" s="5" t="s">
        <v>3</v>
      </c>
    </row>
    <row r="5" customFormat="false" ht="15" hidden="false" customHeight="true" outlineLevel="0" collapsed="false">
      <c r="A5" s="7" t="s">
        <v>57</v>
      </c>
      <c r="B5" s="7"/>
      <c r="C5" s="7"/>
      <c r="D5" s="7"/>
    </row>
    <row r="6" customFormat="false" ht="15" hidden="false" customHeight="true" outlineLevel="0" collapsed="false">
      <c r="A6" s="8" t="s">
        <v>58</v>
      </c>
      <c r="B6" s="10" t="n">
        <v>8</v>
      </c>
    </row>
    <row r="7" customFormat="false" ht="15" hidden="false" customHeight="true" outlineLevel="0" collapsed="false">
      <c r="A7" s="8" t="s">
        <v>59</v>
      </c>
      <c r="B7" s="10" t="n">
        <v>100</v>
      </c>
    </row>
    <row r="8" customFormat="false" ht="15" hidden="false" customHeight="true" outlineLevel="0" collapsed="false">
      <c r="A8" s="8" t="s">
        <v>60</v>
      </c>
      <c r="B8" s="9" t="n">
        <v>1130</v>
      </c>
    </row>
    <row r="9" customFormat="false" ht="15" hidden="false" customHeight="true" outlineLevel="0" collapsed="false">
      <c r="A9" s="8" t="s">
        <v>61</v>
      </c>
      <c r="B9" s="10" t="n">
        <v>26</v>
      </c>
    </row>
    <row r="10" customFormat="false" ht="15" hidden="false" customHeight="true" outlineLevel="0" collapsed="false">
      <c r="A10" s="8" t="s">
        <v>62</v>
      </c>
      <c r="B10" s="9" t="n">
        <v>2</v>
      </c>
    </row>
    <row r="11" customFormat="false" ht="15" hidden="false" customHeight="true" outlineLevel="0" collapsed="false">
      <c r="A11" s="8" t="s">
        <v>63</v>
      </c>
      <c r="B11" s="9" t="n">
        <v>120</v>
      </c>
    </row>
    <row r="12" customFormat="false" ht="15" hidden="false" customHeight="true" outlineLevel="0" collapsed="false">
      <c r="A12" s="8" t="s">
        <v>64</v>
      </c>
      <c r="B12" s="9" t="n">
        <v>150</v>
      </c>
    </row>
    <row r="13" customFormat="false" ht="15" hidden="false" customHeight="true" outlineLevel="0" collapsed="false">
      <c r="A13" s="8" t="s">
        <v>65</v>
      </c>
      <c r="B13" s="9" t="n">
        <v>160</v>
      </c>
    </row>
    <row r="14" customFormat="false" ht="15" hidden="false" customHeight="true" outlineLevel="0" collapsed="false">
      <c r="A14" s="8" t="s">
        <v>66</v>
      </c>
      <c r="B14" s="10" t="n">
        <v>5</v>
      </c>
    </row>
    <row r="15" customFormat="false" ht="15" hidden="false" customHeight="true" outlineLevel="0" collapsed="false">
      <c r="A15" s="8" t="s">
        <v>67</v>
      </c>
      <c r="B15" s="10" t="n">
        <v>26</v>
      </c>
    </row>
    <row r="17" customFormat="false" ht="15" hidden="false" customHeight="true" outlineLevel="0" collapsed="false">
      <c r="A17" s="7" t="s">
        <v>68</v>
      </c>
      <c r="B17" s="7"/>
      <c r="C17" s="7"/>
      <c r="D17" s="7"/>
    </row>
    <row r="18" customFormat="false" ht="15" hidden="false" customHeight="true" outlineLevel="0" collapsed="false">
      <c r="A18" s="23" t="s">
        <v>69</v>
      </c>
      <c r="B18" s="30" t="n">
        <f aca="false">B8/B9</f>
        <v>43.4615384615385</v>
      </c>
    </row>
    <row r="19" customFormat="false" ht="15" hidden="false" customHeight="true" outlineLevel="0" collapsed="false">
      <c r="A19" s="23" t="s">
        <v>70</v>
      </c>
      <c r="B19" s="31" t="n">
        <f aca="false">(B8/B9)/B10</f>
        <v>21.7307692307692</v>
      </c>
    </row>
    <row r="20" customFormat="false" ht="15" hidden="false" customHeight="true" outlineLevel="0" collapsed="false">
      <c r="A20" s="23" t="s">
        <v>71</v>
      </c>
      <c r="B20" s="31" t="n">
        <f aca="false">B19/8</f>
        <v>2.71634615384615</v>
      </c>
    </row>
    <row r="21" customFormat="false" ht="15" hidden="false" customHeight="true" outlineLevel="0" collapsed="false">
      <c r="A21" s="23" t="s">
        <v>72</v>
      </c>
      <c r="B21" s="32" t="n">
        <f aca="false">B7/B19</f>
        <v>4.60176991150443</v>
      </c>
    </row>
    <row r="23" customFormat="false" ht="15" hidden="false" customHeight="true" outlineLevel="0" collapsed="false">
      <c r="A23" s="7" t="s">
        <v>73</v>
      </c>
      <c r="B23" s="7"/>
      <c r="C23" s="7"/>
      <c r="D23" s="7"/>
    </row>
    <row r="24" customFormat="false" ht="15" hidden="false" customHeight="true" outlineLevel="0" collapsed="false">
      <c r="A24" s="12"/>
      <c r="B24" s="12" t="s">
        <v>74</v>
      </c>
      <c r="C24" s="12" t="s">
        <v>75</v>
      </c>
      <c r="D24" s="12" t="s">
        <v>76</v>
      </c>
    </row>
    <row r="25" customFormat="false" ht="15" hidden="false" customHeight="true" outlineLevel="0" collapsed="false">
      <c r="A25" s="8" t="s">
        <v>77</v>
      </c>
      <c r="B25" s="15" t="n">
        <f aca="false">B11</f>
        <v>120</v>
      </c>
      <c r="C25" s="15" t="n">
        <f aca="false">B12</f>
        <v>150</v>
      </c>
      <c r="D25" s="15" t="n">
        <f aca="false">B13</f>
        <v>160</v>
      </c>
    </row>
    <row r="26" customFormat="false" ht="15" hidden="false" customHeight="true" outlineLevel="0" collapsed="false">
      <c r="A26" s="13" t="s">
        <v>78</v>
      </c>
      <c r="B26" s="25" t="n">
        <f aca="false">B11*$B$14</f>
        <v>600</v>
      </c>
      <c r="C26" s="25" t="n">
        <f aca="false">B12*$B$14</f>
        <v>750</v>
      </c>
      <c r="D26" s="25" t="n">
        <f aca="false">B13*$B$14</f>
        <v>800</v>
      </c>
    </row>
    <row r="27" customFormat="false" ht="15" hidden="false" customHeight="true" outlineLevel="0" collapsed="false">
      <c r="A27" s="13" t="s">
        <v>79</v>
      </c>
      <c r="B27" s="25" t="n">
        <f aca="false">B11*$B$15</f>
        <v>3120</v>
      </c>
      <c r="C27" s="25" t="n">
        <f aca="false">B12*$B$15</f>
        <v>3900</v>
      </c>
      <c r="D27" s="25" t="n">
        <f aca="false">B13*$B$15</f>
        <v>4160</v>
      </c>
    </row>
    <row r="29" customFormat="false" ht="15" hidden="false" customHeight="true" outlineLevel="0" collapsed="false">
      <c r="A29" s="7" t="s">
        <v>80</v>
      </c>
      <c r="B29" s="7"/>
      <c r="C29" s="7"/>
      <c r="D29" s="7"/>
    </row>
    <row r="30" customFormat="false" ht="15" hidden="false" customHeight="true" outlineLevel="0" collapsed="false">
      <c r="A30" s="33" t="s">
        <v>81</v>
      </c>
      <c r="B30" s="33"/>
      <c r="C30" s="33"/>
      <c r="D30" s="33"/>
    </row>
    <row r="31" customFormat="false" ht="30" hidden="false" customHeight="true" outlineLevel="0" collapsed="false">
      <c r="A31" s="34" t="s">
        <v>82</v>
      </c>
      <c r="B31" s="34"/>
      <c r="C31" s="34"/>
      <c r="D31" s="34"/>
    </row>
    <row r="33" customFormat="false" ht="15" hidden="false" customHeight="true" outlineLevel="0" collapsed="false">
      <c r="A33" s="33" t="s">
        <v>83</v>
      </c>
      <c r="B33" s="33"/>
      <c r="C33" s="33"/>
      <c r="D33" s="33"/>
    </row>
    <row r="34" customFormat="false" ht="30" hidden="false" customHeight="true" outlineLevel="0" collapsed="false">
      <c r="A34" s="34" t="s">
        <v>84</v>
      </c>
      <c r="B34" s="34"/>
      <c r="C34" s="34"/>
      <c r="D34" s="34"/>
    </row>
    <row r="36" customFormat="false" ht="15" hidden="false" customHeight="true" outlineLevel="0" collapsed="false">
      <c r="A36" s="33" t="s">
        <v>85</v>
      </c>
      <c r="B36" s="33"/>
      <c r="C36" s="33"/>
      <c r="D36" s="33"/>
    </row>
    <row r="37" customFormat="false" ht="30" hidden="false" customHeight="true" outlineLevel="0" collapsed="false">
      <c r="A37" s="34" t="s">
        <v>86</v>
      </c>
      <c r="B37" s="34"/>
      <c r="C37" s="34"/>
      <c r="D37" s="34"/>
    </row>
    <row r="39" customFormat="false" ht="15" hidden="false" customHeight="true" outlineLevel="0" collapsed="false">
      <c r="A39" s="35" t="s">
        <v>87</v>
      </c>
      <c r="B39" s="35"/>
      <c r="C39" s="35"/>
      <c r="D39" s="35"/>
    </row>
    <row r="40" customFormat="false" ht="60" hidden="false" customHeight="true" outlineLevel="0" collapsed="false">
      <c r="A40" s="20" t="s">
        <v>88</v>
      </c>
      <c r="B40" s="20"/>
      <c r="C40" s="20"/>
      <c r="D40" s="20"/>
    </row>
  </sheetData>
  <mergeCells count="13">
    <mergeCell ref="A1:D1"/>
    <mergeCell ref="A5:D5"/>
    <mergeCell ref="A17:D17"/>
    <mergeCell ref="A23:D23"/>
    <mergeCell ref="A29:D29"/>
    <mergeCell ref="A30:D30"/>
    <mergeCell ref="A31:D31"/>
    <mergeCell ref="A33:D33"/>
    <mergeCell ref="A34:D34"/>
    <mergeCell ref="A36:D36"/>
    <mergeCell ref="A37:D37"/>
    <mergeCell ref="A39:D39"/>
    <mergeCell ref="A40:D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52"/>
    <col collapsed="false" customWidth="true" hidden="false" outlineLevel="0" max="2" min="2" style="1" width="20"/>
    <col collapsed="false" customWidth="true" hidden="false" outlineLevel="0" max="3" min="3" style="1" width="18"/>
    <col collapsed="false" customWidth="true" hidden="false" outlineLevel="0" max="4" min="4" style="1" width="14"/>
    <col collapsed="false" customWidth="true" hidden="false" outlineLevel="0" max="5" min="5" style="1" width="4"/>
  </cols>
  <sheetData>
    <row r="1" customFormat="false" ht="27.75" hidden="false" customHeight="true" outlineLevel="0" collapsed="false">
      <c r="A1" s="2" t="s">
        <v>89</v>
      </c>
      <c r="B1" s="2"/>
      <c r="C1" s="2"/>
      <c r="D1" s="2"/>
      <c r="E1" s="2"/>
    </row>
    <row r="3" customFormat="false" ht="15" hidden="false" customHeight="true" outlineLevel="0" collapsed="false">
      <c r="A3" s="3" t="s">
        <v>1</v>
      </c>
      <c r="B3" s="4" t="s">
        <v>2</v>
      </c>
      <c r="D3" s="5" t="s">
        <v>3</v>
      </c>
    </row>
    <row r="5" customFormat="false" ht="15" hidden="false" customHeight="true" outlineLevel="0" collapsed="false">
      <c r="A5" s="7" t="s">
        <v>90</v>
      </c>
      <c r="B5" s="7"/>
      <c r="C5" s="7"/>
      <c r="D5" s="7"/>
      <c r="E5" s="7"/>
    </row>
    <row r="6" customFormat="false" ht="15" hidden="false" customHeight="true" outlineLevel="0" collapsed="false">
      <c r="A6" s="12" t="s">
        <v>91</v>
      </c>
      <c r="B6" s="12" t="s">
        <v>92</v>
      </c>
      <c r="C6" s="12" t="s">
        <v>93</v>
      </c>
    </row>
    <row r="7" customFormat="false" ht="15" hidden="false" customHeight="true" outlineLevel="0" collapsed="false">
      <c r="A7" s="8" t="s">
        <v>94</v>
      </c>
      <c r="B7" s="8" t="s">
        <v>95</v>
      </c>
      <c r="C7" s="10" t="n">
        <v>50</v>
      </c>
    </row>
    <row r="8" customFormat="false" ht="15" hidden="false" customHeight="true" outlineLevel="0" collapsed="false">
      <c r="A8" s="8" t="s">
        <v>96</v>
      </c>
      <c r="B8" s="8" t="s">
        <v>97</v>
      </c>
      <c r="C8" s="10" t="n">
        <v>91</v>
      </c>
    </row>
    <row r="9" customFormat="false" ht="15" hidden="false" customHeight="true" outlineLevel="0" collapsed="false">
      <c r="A9" s="8" t="s">
        <v>98</v>
      </c>
      <c r="B9" s="8" t="s">
        <v>99</v>
      </c>
      <c r="C9" s="10" t="n">
        <v>31</v>
      </c>
    </row>
    <row r="10" customFormat="false" ht="15" hidden="false" customHeight="true" outlineLevel="0" collapsed="false">
      <c r="A10" s="8" t="s">
        <v>100</v>
      </c>
      <c r="B10" s="8" t="s">
        <v>101</v>
      </c>
      <c r="C10" s="10" t="n">
        <v>41</v>
      </c>
    </row>
    <row r="11" customFormat="false" ht="15" hidden="false" customHeight="true" outlineLevel="0" collapsed="false">
      <c r="A11" s="13" t="s">
        <v>102</v>
      </c>
      <c r="B11" s="23"/>
      <c r="C11" s="36" t="n">
        <f aca="false">AVERAGE(C7:C10)</f>
        <v>53.25</v>
      </c>
    </row>
    <row r="12" customFormat="false" ht="15" hidden="false" customHeight="true" outlineLevel="0" collapsed="false">
      <c r="A12" s="8" t="s">
        <v>103</v>
      </c>
      <c r="B12" s="23"/>
      <c r="C12" s="24" t="n">
        <f aca="false">MIN(C7:C10)</f>
        <v>31</v>
      </c>
    </row>
    <row r="13" customFormat="false" ht="15" hidden="false" customHeight="true" outlineLevel="0" collapsed="false">
      <c r="A13" s="8" t="s">
        <v>104</v>
      </c>
      <c r="B13" s="23"/>
      <c r="C13" s="24" t="n">
        <f aca="false">MAX(C7:C10)</f>
        <v>91</v>
      </c>
    </row>
    <row r="15" customFormat="false" ht="15" hidden="false" customHeight="true" outlineLevel="0" collapsed="false">
      <c r="A15" s="7" t="s">
        <v>105</v>
      </c>
      <c r="B15" s="7"/>
      <c r="C15" s="7"/>
      <c r="D15" s="7"/>
      <c r="E15" s="7"/>
    </row>
    <row r="16" customFormat="false" ht="15" hidden="false" customHeight="true" outlineLevel="0" collapsed="false">
      <c r="A16" s="12" t="s">
        <v>91</v>
      </c>
      <c r="B16" s="12" t="s">
        <v>92</v>
      </c>
      <c r="C16" s="12" t="s">
        <v>93</v>
      </c>
    </row>
    <row r="17" customFormat="false" ht="15" hidden="false" customHeight="true" outlineLevel="0" collapsed="false">
      <c r="A17" s="8" t="s">
        <v>94</v>
      </c>
      <c r="B17" s="8" t="s">
        <v>106</v>
      </c>
      <c r="C17" s="10" t="n">
        <v>45</v>
      </c>
    </row>
    <row r="18" customFormat="false" ht="15" hidden="false" customHeight="true" outlineLevel="0" collapsed="false">
      <c r="A18" s="8" t="s">
        <v>96</v>
      </c>
      <c r="B18" s="8" t="s">
        <v>107</v>
      </c>
      <c r="C18" s="10" t="n">
        <v>101</v>
      </c>
    </row>
    <row r="19" customFormat="false" ht="15" hidden="false" customHeight="true" outlineLevel="0" collapsed="false">
      <c r="A19" s="8" t="s">
        <v>98</v>
      </c>
      <c r="B19" s="8" t="s">
        <v>95</v>
      </c>
      <c r="C19" s="10" t="n">
        <v>57</v>
      </c>
    </row>
    <row r="20" customFormat="false" ht="15" hidden="false" customHeight="true" outlineLevel="0" collapsed="false">
      <c r="A20" s="8" t="s">
        <v>100</v>
      </c>
      <c r="B20" s="8" t="s">
        <v>97</v>
      </c>
      <c r="C20" s="10" t="n">
        <v>58</v>
      </c>
    </row>
    <row r="21" customFormat="false" ht="15" hidden="false" customHeight="true" outlineLevel="0" collapsed="false">
      <c r="A21" s="8" t="s">
        <v>108</v>
      </c>
      <c r="B21" s="8" t="s">
        <v>99</v>
      </c>
      <c r="C21" s="10" t="n">
        <v>108</v>
      </c>
    </row>
    <row r="22" customFormat="false" ht="15" hidden="false" customHeight="true" outlineLevel="0" collapsed="false">
      <c r="A22" s="13" t="s">
        <v>109</v>
      </c>
      <c r="B22" s="23"/>
      <c r="C22" s="36" t="n">
        <f aca="false">AVERAGE(C17:C21)</f>
        <v>73.8</v>
      </c>
    </row>
    <row r="24" customFormat="false" ht="15" hidden="false" customHeight="true" outlineLevel="0" collapsed="false">
      <c r="A24" s="7" t="s">
        <v>110</v>
      </c>
      <c r="B24" s="7"/>
      <c r="C24" s="7"/>
      <c r="D24" s="7"/>
      <c r="E24" s="7"/>
    </row>
    <row r="25" customFormat="false" ht="26.25" hidden="false" customHeight="true" outlineLevel="0" collapsed="false">
      <c r="A25" s="12" t="s">
        <v>47</v>
      </c>
      <c r="B25" s="12" t="s">
        <v>111</v>
      </c>
    </row>
    <row r="26" customFormat="false" ht="15" hidden="false" customHeight="true" outlineLevel="0" collapsed="false">
      <c r="A26" s="8" t="s">
        <v>112</v>
      </c>
      <c r="B26" s="10" t="n">
        <v>141</v>
      </c>
    </row>
    <row r="27" customFormat="false" ht="15" hidden="false" customHeight="true" outlineLevel="0" collapsed="false">
      <c r="A27" s="8" t="s">
        <v>113</v>
      </c>
      <c r="B27" s="10" t="n">
        <v>122</v>
      </c>
    </row>
    <row r="28" customFormat="false" ht="15" hidden="false" customHeight="true" outlineLevel="0" collapsed="false">
      <c r="A28" s="8" t="s">
        <v>114</v>
      </c>
      <c r="B28" s="10" t="n">
        <v>72</v>
      </c>
    </row>
    <row r="29" customFormat="false" ht="15" hidden="false" customHeight="true" outlineLevel="0" collapsed="false">
      <c r="A29" s="13" t="s">
        <v>115</v>
      </c>
      <c r="B29" s="24" t="n">
        <f aca="false">MIN(B26:B28)</f>
        <v>72</v>
      </c>
      <c r="C29" s="24" t="n">
        <f aca="false">MAX(B26:B28)</f>
        <v>141</v>
      </c>
    </row>
    <row r="31" customFormat="false" ht="15" hidden="false" customHeight="true" outlineLevel="0" collapsed="false">
      <c r="A31" s="7" t="s">
        <v>116</v>
      </c>
      <c r="B31" s="7"/>
      <c r="C31" s="7"/>
      <c r="D31" s="7"/>
      <c r="E31" s="7"/>
    </row>
    <row r="32" customFormat="false" ht="15" hidden="false" customHeight="true" outlineLevel="0" collapsed="false">
      <c r="A32" s="23" t="s">
        <v>117</v>
      </c>
      <c r="B32" s="37" t="n">
        <v>4.33</v>
      </c>
    </row>
    <row r="33" customFormat="false" ht="15" hidden="false" customHeight="true" outlineLevel="0" collapsed="false">
      <c r="A33" s="23" t="s">
        <v>118</v>
      </c>
      <c r="B33" s="24" t="n">
        <f aca="false">C12*B32</f>
        <v>134.23</v>
      </c>
    </row>
    <row r="34" customFormat="false" ht="15" hidden="false" customHeight="true" outlineLevel="0" collapsed="false">
      <c r="A34" s="23" t="s">
        <v>119</v>
      </c>
      <c r="B34" s="24" t="n">
        <f aca="false">C13*B32</f>
        <v>394.03</v>
      </c>
    </row>
    <row r="35" customFormat="false" ht="15" hidden="false" customHeight="true" outlineLevel="0" collapsed="false">
      <c r="A35" s="23" t="s">
        <v>120</v>
      </c>
      <c r="B35" s="24" t="n">
        <f aca="false">C12*B32*2</f>
        <v>268.46</v>
      </c>
    </row>
    <row r="36" customFormat="false" ht="15" hidden="false" customHeight="true" outlineLevel="0" collapsed="false">
      <c r="A36" s="23" t="s">
        <v>121</v>
      </c>
      <c r="B36" s="24" t="n">
        <f aca="false">C13*B32*2</f>
        <v>788.06</v>
      </c>
    </row>
    <row r="38" customFormat="false" ht="15" hidden="false" customHeight="true" outlineLevel="0" collapsed="false">
      <c r="A38" s="7" t="s">
        <v>122</v>
      </c>
      <c r="B38" s="7"/>
      <c r="C38" s="7"/>
      <c r="D38" s="7"/>
      <c r="E38" s="7"/>
    </row>
    <row r="39" customFormat="false" ht="15" hidden="false" customHeight="true" outlineLevel="0" collapsed="false">
      <c r="A39" s="23" t="s">
        <v>123</v>
      </c>
      <c r="B39" s="10" t="n">
        <v>500</v>
      </c>
    </row>
    <row r="40" customFormat="false" ht="15" hidden="false" customHeight="true" outlineLevel="0" collapsed="false">
      <c r="A40" s="23" t="s">
        <v>124</v>
      </c>
      <c r="B40" s="38" t="s">
        <v>125</v>
      </c>
    </row>
    <row r="41" customFormat="false" ht="15" hidden="false" customHeight="true" outlineLevel="0" collapsed="false">
      <c r="A41" s="23" t="s">
        <v>126</v>
      </c>
      <c r="B41" s="9" t="n">
        <v>200</v>
      </c>
    </row>
    <row r="43" customFormat="false" ht="15" hidden="false" customHeight="true" outlineLevel="0" collapsed="false">
      <c r="A43" s="7" t="s">
        <v>127</v>
      </c>
      <c r="B43" s="7"/>
      <c r="C43" s="7"/>
      <c r="D43" s="7"/>
      <c r="E43" s="7"/>
    </row>
    <row r="44" customFormat="false" ht="15" hidden="false" customHeight="true" outlineLevel="0" collapsed="false">
      <c r="A44" s="23" t="s">
        <v>128</v>
      </c>
      <c r="B44" s="24" t="n">
        <f aca="false">IF(B40="Semana",C12,IF(B40="Quincena",B29,IF(B40="Mes",B33,B35)))</f>
        <v>134.23</v>
      </c>
    </row>
    <row r="45" customFormat="false" ht="15" hidden="false" customHeight="true" outlineLevel="0" collapsed="false">
      <c r="A45" s="23" t="s">
        <v>129</v>
      </c>
      <c r="B45" s="24" t="n">
        <f aca="false">IF(B40="Semana",C13,IF(B40="Quincena",C29,IF(B40="Mes",B34,B36)))</f>
        <v>394.03</v>
      </c>
    </row>
    <row r="46" customFormat="false" ht="15" hidden="false" customHeight="true" outlineLevel="0" collapsed="false">
      <c r="A46" s="23" t="s">
        <v>130</v>
      </c>
      <c r="B46" s="39" t="str">
        <f aca="false">IF(B39&lt;=B45,"Dentro de lo ya logrado",IF(B39&lt;=B45*1.3,"Exigente, cerca de su mejor marca","Muy por encima de lo demostrado"))</f>
        <v>Exigente, cerca de su mejor marca</v>
      </c>
    </row>
    <row r="47" customFormat="false" ht="15" hidden="false" customHeight="true" outlineLevel="0" collapsed="false">
      <c r="A47" s="23" t="s">
        <v>131</v>
      </c>
      <c r="B47" s="36" t="n">
        <f aca="false">IF(B40="Semana",30/7,IF(B40="Quincena",30/15,IF(B40="Mes",1,0.5)))</f>
        <v>1</v>
      </c>
    </row>
    <row r="48" customFormat="false" ht="15" hidden="false" customHeight="true" outlineLevel="0" collapsed="false">
      <c r="A48" s="23" t="s">
        <v>132</v>
      </c>
      <c r="B48" s="25" t="n">
        <f aca="false">B41*B47</f>
        <v>200</v>
      </c>
    </row>
    <row r="50" customFormat="false" ht="54.75" hidden="false" customHeight="true" outlineLevel="0" collapsed="false">
      <c r="A50" s="20" t="s">
        <v>133</v>
      </c>
      <c r="B50" s="20"/>
      <c r="C50" s="20"/>
      <c r="D50" s="20"/>
      <c r="E50" s="20"/>
    </row>
  </sheetData>
  <mergeCells count="8">
    <mergeCell ref="A1:E1"/>
    <mergeCell ref="A5:E5"/>
    <mergeCell ref="A15:E15"/>
    <mergeCell ref="A24:E24"/>
    <mergeCell ref="A31:E31"/>
    <mergeCell ref="A38:E38"/>
    <mergeCell ref="A43:E43"/>
    <mergeCell ref="A50:E50"/>
  </mergeCells>
  <dataValidations count="1">
    <dataValidation allowBlank="false" errorStyle="stop" operator="between" showDropDown="false" showErrorMessage="false" showInputMessage="false" sqref="B40" type="list">
      <formula1>"Semana,Quincena,Mes,Dos meses"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20"/>
    <col collapsed="false" customWidth="true" hidden="false" outlineLevel="0" max="4" min="4" style="0" width="4"/>
  </cols>
  <sheetData>
    <row r="1" customFormat="false" ht="27.75" hidden="false" customHeight="true" outlineLevel="0" collapsed="false">
      <c r="A1" s="2" t="s">
        <v>134</v>
      </c>
      <c r="B1" s="2"/>
      <c r="C1" s="2"/>
      <c r="D1" s="2"/>
    </row>
    <row r="3" customFormat="false" ht="15" hidden="false" customHeight="false" outlineLevel="0" collapsed="false">
      <c r="A3" s="40" t="s">
        <v>135</v>
      </c>
      <c r="B3" s="40"/>
      <c r="C3" s="40"/>
      <c r="D3" s="40"/>
    </row>
    <row r="4" customFormat="false" ht="75" hidden="false" customHeight="true" outlineLevel="0" collapsed="false">
      <c r="A4" s="41" t="s">
        <v>136</v>
      </c>
      <c r="B4" s="41"/>
      <c r="C4" s="41"/>
      <c r="D4" s="41"/>
    </row>
    <row r="6" customFormat="false" ht="15" hidden="false" customHeight="false" outlineLevel="0" collapsed="false">
      <c r="A6" s="40" t="s">
        <v>137</v>
      </c>
      <c r="B6" s="40"/>
      <c r="C6" s="40"/>
      <c r="D6" s="40"/>
    </row>
    <row r="7" customFormat="false" ht="15" hidden="false" customHeight="false" outlineLevel="0" collapsed="false">
      <c r="A7" s="42" t="s">
        <v>138</v>
      </c>
      <c r="B7" s="42" t="s">
        <v>139</v>
      </c>
    </row>
    <row r="8" customFormat="false" ht="15" hidden="false" customHeight="false" outlineLevel="0" collapsed="false">
      <c r="A8" s="43" t="s">
        <v>140</v>
      </c>
      <c r="B8" s="44" t="s">
        <v>141</v>
      </c>
    </row>
    <row r="9" customFormat="false" ht="15" hidden="false" customHeight="false" outlineLevel="0" collapsed="false">
      <c r="A9" s="43" t="s">
        <v>142</v>
      </c>
      <c r="B9" s="44" t="s">
        <v>143</v>
      </c>
    </row>
    <row r="10" customFormat="false" ht="15" hidden="false" customHeight="false" outlineLevel="0" collapsed="false">
      <c r="A10" s="43" t="s">
        <v>144</v>
      </c>
      <c r="B10" s="44" t="s">
        <v>145</v>
      </c>
    </row>
    <row r="11" customFormat="false" ht="15" hidden="false" customHeight="false" outlineLevel="0" collapsed="false">
      <c r="A11" s="43" t="s">
        <v>146</v>
      </c>
      <c r="B11" s="44" t="s">
        <v>147</v>
      </c>
    </row>
    <row r="12" customFormat="false" ht="15" hidden="false" customHeight="false" outlineLevel="0" collapsed="false">
      <c r="A12" s="43" t="s">
        <v>148</v>
      </c>
      <c r="B12" s="44" t="s">
        <v>149</v>
      </c>
    </row>
    <row r="13" customFormat="false" ht="15" hidden="false" customHeight="false" outlineLevel="0" collapsed="false">
      <c r="A13" s="43" t="s">
        <v>150</v>
      </c>
      <c r="B13" s="44" t="s">
        <v>151</v>
      </c>
    </row>
    <row r="14" customFormat="false" ht="15" hidden="false" customHeight="false" outlineLevel="0" collapsed="false">
      <c r="A14" s="43" t="s">
        <v>152</v>
      </c>
      <c r="B14" s="44" t="s">
        <v>153</v>
      </c>
    </row>
    <row r="15" customFormat="false" ht="15" hidden="false" customHeight="false" outlineLevel="0" collapsed="false">
      <c r="A15" s="43" t="s">
        <v>154</v>
      </c>
      <c r="B15" s="44" t="s">
        <v>155</v>
      </c>
    </row>
    <row r="16" customFormat="false" ht="15" hidden="false" customHeight="false" outlineLevel="0" collapsed="false">
      <c r="A16" s="43" t="s">
        <v>156</v>
      </c>
      <c r="B16" s="44" t="s">
        <v>157</v>
      </c>
    </row>
    <row r="18" customFormat="false" ht="15" hidden="false" customHeight="false" outlineLevel="0" collapsed="false">
      <c r="A18" s="40" t="s">
        <v>158</v>
      </c>
      <c r="B18" s="40"/>
      <c r="C18" s="40"/>
      <c r="D18" s="40"/>
    </row>
    <row r="19" customFormat="false" ht="60" hidden="false" customHeight="true" outlineLevel="0" collapsed="false">
      <c r="A19" s="41" t="s">
        <v>159</v>
      </c>
      <c r="B19" s="41"/>
      <c r="C19" s="41"/>
      <c r="D19" s="41"/>
    </row>
    <row r="21" customFormat="false" ht="15" hidden="false" customHeight="false" outlineLevel="0" collapsed="false">
      <c r="A21" s="40" t="s">
        <v>160</v>
      </c>
      <c r="B21" s="40"/>
      <c r="C21" s="40"/>
      <c r="D21" s="40"/>
    </row>
    <row r="22" customFormat="false" ht="60" hidden="false" customHeight="true" outlineLevel="0" collapsed="false">
      <c r="A22" s="41" t="s">
        <v>161</v>
      </c>
      <c r="B22" s="41"/>
      <c r="C22" s="41"/>
      <c r="D22" s="41"/>
    </row>
    <row r="24" customFormat="false" ht="15" hidden="false" customHeight="false" outlineLevel="0" collapsed="false">
      <c r="A24" s="40" t="s">
        <v>162</v>
      </c>
      <c r="B24" s="40"/>
      <c r="C24" s="40"/>
      <c r="D24" s="40"/>
    </row>
    <row r="25" customFormat="false" ht="84.75" hidden="false" customHeight="true" outlineLevel="0" collapsed="false">
      <c r="A25" s="41" t="s">
        <v>163</v>
      </c>
      <c r="B25" s="41"/>
      <c r="C25" s="41"/>
      <c r="D25" s="41"/>
    </row>
    <row r="27" customFormat="false" ht="15" hidden="false" customHeight="false" outlineLevel="0" collapsed="false">
      <c r="A27" s="40" t="s">
        <v>164</v>
      </c>
      <c r="B27" s="40"/>
      <c r="C27" s="40"/>
      <c r="D27" s="40"/>
    </row>
    <row r="28" customFormat="false" ht="69.75" hidden="false" customHeight="true" outlineLevel="0" collapsed="false">
      <c r="A28" s="45" t="s">
        <v>165</v>
      </c>
      <c r="B28" s="45"/>
      <c r="C28" s="45"/>
      <c r="D28" s="45"/>
    </row>
    <row r="30" customFormat="false" ht="15" hidden="false" customHeight="false" outlineLevel="0" collapsed="false">
      <c r="A30" s="46" t="s">
        <v>166</v>
      </c>
      <c r="B30" s="46"/>
      <c r="C30" s="46"/>
      <c r="D30" s="46"/>
    </row>
    <row r="31" customFormat="false" ht="84.75" hidden="false" customHeight="true" outlineLevel="0" collapsed="false">
      <c r="A31" s="47" t="s">
        <v>167</v>
      </c>
      <c r="B31" s="47"/>
      <c r="C31" s="47"/>
      <c r="D31" s="47"/>
    </row>
  </sheetData>
  <mergeCells count="14">
    <mergeCell ref="A1:D1"/>
    <mergeCell ref="A3:D3"/>
    <mergeCell ref="A4:D4"/>
    <mergeCell ref="A6:D6"/>
    <mergeCell ref="A18:D18"/>
    <mergeCell ref="A19:D19"/>
    <mergeCell ref="A21:D21"/>
    <mergeCell ref="A22:D22"/>
    <mergeCell ref="A24:D24"/>
    <mergeCell ref="A25:D25"/>
    <mergeCell ref="A27:D27"/>
    <mergeCell ref="A28:D28"/>
    <mergeCell ref="A30:D30"/>
    <mergeCell ref="A31:D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2026-09-21T16:12:18Z</dcterms:created>
  <dc:creator>openpyxl</dc:creator>
  <dc:description/>
  <dc:language>en-US</dc:language>
  <cp:lastModifiedBy/>
  <dcterms:modified xsi:type="dcterms:W3CDTF">2026-10-02T13:58:12Z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