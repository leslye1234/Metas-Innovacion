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sumen" sheetId="1" state="visible" r:id="rId3"/>
    <sheet name="Escenario Actual" sheetId="2" state="visible" r:id="rId4"/>
    <sheet name="Estrategias por Quincena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<sst xmlns="http://schemas.openxmlformats.org/spreadsheetml/2006/main" count="57" uniqueCount="56">
  <si>
    <t xml:space="preserve">Incentivos de Volanteo - Escenario Actual y Estrategias de Pago</t>
  </si>
  <si>
    <t xml:space="preserve">Leyenda:</t>
  </si>
  <si>
    <t xml:space="preserve">Celda editable</t>
  </si>
  <si>
    <t xml:space="preserve">Celda calculada</t>
  </si>
  <si>
    <t xml:space="preserve">Regla base (no cambia en ninguna estrategia): 500 volanteos registrados y validados por TODO el equipo = S/200 de bono. Ya no existe un bono individual por persona.</t>
  </si>
  <si>
    <t xml:space="preserve">PARAMETROS</t>
  </si>
  <si>
    <t xml:space="preserve">Bono total por hito de 500 (S/)</t>
  </si>
  <si>
    <t xml:space="preserve">Umbral de avance intermedio (volanteos)</t>
  </si>
  <si>
    <t xml:space="preserve">Umbral final (volanteos)</t>
  </si>
  <si>
    <t xml:space="preserve">Estrategia 1 - Tramo 1 (S/)</t>
  </si>
  <si>
    <t xml:space="preserve">Estrategia 1 - Tramo 2 (S/)</t>
  </si>
  <si>
    <t xml:space="preserve">Estrategia 3 - Anticipo (S/)</t>
  </si>
  <si>
    <t xml:space="preserve">Estrategia 3 - Saldo (S/)</t>
  </si>
  <si>
    <t xml:space="preserve">Dias del ciclo actual (ventana maxima)</t>
  </si>
  <si>
    <t xml:space="preserve">Dias promedio real del ciclo actual</t>
  </si>
  <si>
    <t xml:space="preserve">Dias de la quincena (estrategias 1, 2 y 3)</t>
  </si>
  <si>
    <t xml:space="preserve">COMPARACION</t>
  </si>
  <si>
    <t xml:space="preserve">Opcion</t>
  </si>
  <si>
    <t xml:space="preserve">Estructura del bono</t>
  </si>
  <si>
    <t xml:space="preserve">Pagos maximos / mes</t>
  </si>
  <si>
    <t xml:space="preserve">Costo mensual estimado (S/)</t>
  </si>
  <si>
    <t xml:space="preserve">Escenario actual</t>
  </si>
  <si>
    <t xml:space="preserve">Pago unico S/200 cada 7-10 dias</t>
  </si>
  <si>
    <t xml:space="preserve">Estrategia 1 - Tramos iguales</t>
  </si>
  <si>
    <t xml:space="preserve">S/100 + S/100 por quincena</t>
  </si>
  <si>
    <t xml:space="preserve">Estrategia 2 - Ventana larga</t>
  </si>
  <si>
    <t xml:space="preserve">Pago unico S/200 por quincena</t>
  </si>
  <si>
    <t xml:space="preserve">Estrategia 3 - Anticipo + saldo</t>
  </si>
  <si>
    <t xml:space="preserve">S/70 + S/130 por quincena</t>
  </si>
  <si>
    <t xml:space="preserve">Techo natural de gasto con pago quincenal (2 pagos maximo/mes)</t>
  </si>
  <si>
    <t xml:space="preserve">Costo si el ciclo actual fuera siempre de 7 dias (peor caso para el bolsillo)</t>
  </si>
  <si>
    <t xml:space="preserve">Nota: las 3 estrategias no bajan el monto del bono (sigue siendo S/200 por hito), solo cambian cuando y en cuantas partes se paga. Al limitar el pago a la fecha de planilla quincenal, el gasto mensual queda topado en 2 pagos, sin importar que tan rapido cumpla el equipo.</t>
  </si>
  <si>
    <t xml:space="preserve">Escenario Actual - Bitacora de Ciclos Reales</t>
  </si>
  <si>
    <t xml:space="preserve">Como se usa:</t>
  </si>
  <si>
    <t xml:space="preserve">Cada fila es un ciclo real. Anota cuantos dias tardo TODO el equipo en juntar 500 volanteos registrados.</t>
  </si>
  <si>
    <t xml:space="preserve">Ciclo</t>
  </si>
  <si>
    <t xml:space="preserve">Dia de inicio</t>
  </si>
  <si>
    <t xml:space="preserve">Dias que tardaron en llegar a 500</t>
  </si>
  <si>
    <t xml:space="preserve">Dia de corte</t>
  </si>
  <si>
    <t xml:space="preserve">Llego dentro de la ventana?</t>
  </si>
  <si>
    <t xml:space="preserve">Bono pagado (S/)</t>
  </si>
  <si>
    <t xml:space="preserve">Dentro del mes (dia &lt;= 30)?</t>
  </si>
  <si>
    <t xml:space="preserve">RESUMEN DEL MES</t>
  </si>
  <si>
    <t xml:space="preserve">Ciclos que cerraron dentro del mes</t>
  </si>
  <si>
    <t xml:space="preserve">Bono total pagado en el mes (S/)</t>
  </si>
  <si>
    <t xml:space="preserve">Comparacion de las 3 Estrategias, Quincena a Quincena</t>
  </si>
  <si>
    <t xml:space="preserve">Por cada quincena, anota en que dia (1 a 15) el equipo llego a 300 y a 500 volanteos registrados. Deja en blanco si no llegaron. Las 3 estrategias se calculan solas, a partir de los mismos 2 datos.</t>
  </si>
  <si>
    <t xml:space="preserve">Quincena</t>
  </si>
  <si>
    <t xml:space="preserve">Dia en que llegaron a 300 (1-15)</t>
  </si>
  <si>
    <t xml:space="preserve">Dia en que llegaron a 500 (1-15)</t>
  </si>
  <si>
    <t xml:space="preserve">Pago Estrategia 1 (S/)</t>
  </si>
  <si>
    <t xml:space="preserve">Pago Estrategia 2 (S/)</t>
  </si>
  <si>
    <t xml:space="preserve">Pago Estrategia 3 (S/)</t>
  </si>
  <si>
    <t xml:space="preserve">TOTAL</t>
  </si>
  <si>
    <t xml:space="preserve">Promedio mensual (2 quincenas = 1 mes)</t>
  </si>
  <si>
    <t xml:space="preserve">Nota: con estos 4 ejemplos (2 meses), se ve que las 3 estrategias reparten el mismo dinero de forma distinta segun que tan rapido llega el equipo a cada umbral. Cambia los dias de ejemplo por tus datos reales para comparar.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</si>
</sst>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&quot;S/ &quot;#,##0;&quot;(S/ &quot;#,##0\);\-"/>
    <numFmt numFmtId="166" formatCode="#,##0;\(#,##0\);\-"/>
    <numFmt numFmtId="167" formatCode="0&quot; dias&quot;"/>
    <numFmt numFmtId="168" formatCode="0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FFFFFF"/>
      <name val="Arial"/>
      <family val="0"/>
      <charset val="1"/>
    </font>
    <font>
      <b val="true"/>
      <sz val="11"/>
      <name val="Arial"/>
      <family val="0"/>
      <charset val="1"/>
    </font>
    <font>
      <sz val="11"/>
      <color rgb="FF008000"/>
      <name val="Arial"/>
      <family val="0"/>
      <charset val="1"/>
    </font>
    <font>
      <i val="true"/>
      <sz val="10"/>
      <name val="Arial"/>
      <family val="0"/>
      <charset val="1"/>
    </font>
    <font>
      <b val="true"/>
      <sz val="11"/>
      <color rgb="FF1F4E78"/>
      <name val="Arial"/>
      <family val="0"/>
      <charset val="1"/>
    </font>
    <font>
      <sz val="11"/>
      <color rgb="FF000000"/>
      <name val="Arial"/>
      <family val="0"/>
      <charset val="1"/>
    </font>
    <font>
      <sz val="11"/>
      <color rgb="FF0000FF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1"/>
      <color rgb="FF375623"/>
      <name val="Arial"/>
      <family val="0"/>
      <charset val="1"/>
    </font>
    <font>
      <i val="true"/>
      <sz val="9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F00"/>
        <bgColor rgb="FFFFFF00"/>
      </patternFill>
    </fill>
    <fill>
      <patternFill patternType="solid">
        <fgColor rgb="FFD9E1F2"/>
        <bgColor rgb="FFE2EFDA"/>
      </patternFill>
    </fill>
    <fill>
      <patternFill patternType="solid">
        <fgColor rgb="FFE2EFDA"/>
        <bgColor rgb="FFF2F2F2"/>
      </patternFill>
    </fill>
    <fill>
      <patternFill patternType="solid">
        <fgColor rgb="FFF2F2F2"/>
        <bgColor rgb="FFE2EFDA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4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2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2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6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7562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34"/>
    <col collapsed="false" customWidth="true" hidden="false" outlineLevel="0" max="3" min="3" style="0" width="18"/>
    <col collapsed="false" customWidth="true" hidden="false" outlineLevel="0" max="4" min="4" style="0" width="24"/>
    <col collapsed="false" customWidth="true" hidden="false" outlineLevel="0" max="5" min="5" style="0" width="4"/>
  </cols>
  <sheetData>
    <row r="1" customFormat="false" ht="27.75" hidden="false" customHeight="true" outlineLevel="0" collapsed="false">
      <c r="A1" s="1" t="s">
        <v>0</v>
      </c>
      <c r="B1" s="1"/>
      <c r="C1" s="1"/>
      <c r="D1" s="1"/>
      <c r="E1" s="1"/>
    </row>
    <row r="3" customFormat="false" ht="15" hidden="false" customHeight="false" outlineLevel="0" collapsed="false">
      <c r="A3" s="2" t="s">
        <v>1</v>
      </c>
      <c r="B3" s="3" t="s">
        <v>2</v>
      </c>
      <c r="D3" s="4" t="s">
        <v>3</v>
      </c>
    </row>
    <row r="5" customFormat="false" ht="15" hidden="false" customHeight="false" outlineLevel="0" collapsed="false">
      <c r="A5" s="5" t="s">
        <v>4</v>
      </c>
      <c r="B5" s="5"/>
      <c r="C5" s="5"/>
      <c r="D5" s="5"/>
      <c r="E5" s="5"/>
    </row>
    <row r="7" customFormat="false" ht="15" hidden="false" customHeight="false" outlineLevel="0" collapsed="false">
      <c r="A7" s="6" t="s">
        <v>5</v>
      </c>
      <c r="B7" s="6"/>
      <c r="C7" s="6"/>
      <c r="D7" s="6"/>
      <c r="E7" s="6"/>
    </row>
    <row r="8" customFormat="false" ht="15" hidden="false" customHeight="false" outlineLevel="0" collapsed="false">
      <c r="A8" s="7" t="s">
        <v>6</v>
      </c>
      <c r="B8" s="8" t="n">
        <v>200</v>
      </c>
    </row>
    <row r="9" customFormat="false" ht="15" hidden="false" customHeight="false" outlineLevel="0" collapsed="false">
      <c r="A9" s="7" t="s">
        <v>7</v>
      </c>
      <c r="B9" s="9" t="n">
        <v>300</v>
      </c>
    </row>
    <row r="10" customFormat="false" ht="15" hidden="false" customHeight="false" outlineLevel="0" collapsed="false">
      <c r="A10" s="7" t="s">
        <v>8</v>
      </c>
      <c r="B10" s="9" t="n">
        <v>500</v>
      </c>
    </row>
    <row r="11" customFormat="false" ht="15" hidden="false" customHeight="false" outlineLevel="0" collapsed="false">
      <c r="A11" s="7" t="s">
        <v>9</v>
      </c>
      <c r="B11" s="8" t="n">
        <v>100</v>
      </c>
    </row>
    <row r="12" customFormat="false" ht="15" hidden="false" customHeight="false" outlineLevel="0" collapsed="false">
      <c r="A12" s="7" t="s">
        <v>10</v>
      </c>
      <c r="B12" s="8" t="n">
        <v>100</v>
      </c>
    </row>
    <row r="13" customFormat="false" ht="15" hidden="false" customHeight="false" outlineLevel="0" collapsed="false">
      <c r="A13" s="7" t="s">
        <v>11</v>
      </c>
      <c r="B13" s="8" t="n">
        <v>70</v>
      </c>
    </row>
    <row r="14" customFormat="false" ht="15" hidden="false" customHeight="false" outlineLevel="0" collapsed="false">
      <c r="A14" s="7" t="s">
        <v>12</v>
      </c>
      <c r="B14" s="8" t="n">
        <v>130</v>
      </c>
    </row>
    <row r="15" customFormat="false" ht="15" hidden="false" customHeight="false" outlineLevel="0" collapsed="false">
      <c r="A15" s="7" t="s">
        <v>13</v>
      </c>
      <c r="B15" s="10" t="n">
        <v>10</v>
      </c>
    </row>
    <row r="16" customFormat="false" ht="15" hidden="false" customHeight="false" outlineLevel="0" collapsed="false">
      <c r="A16" s="7" t="s">
        <v>14</v>
      </c>
      <c r="B16" s="10" t="n">
        <v>9</v>
      </c>
    </row>
    <row r="17" customFormat="false" ht="15" hidden="false" customHeight="false" outlineLevel="0" collapsed="false">
      <c r="A17" s="7" t="s">
        <v>15</v>
      </c>
      <c r="B17" s="10" t="n">
        <v>15</v>
      </c>
    </row>
    <row r="19" customFormat="false" ht="15" hidden="false" customHeight="false" outlineLevel="0" collapsed="false">
      <c r="A19" s="6" t="s">
        <v>16</v>
      </c>
      <c r="B19" s="6"/>
      <c r="C19" s="6"/>
      <c r="D19" s="6"/>
      <c r="E19" s="6"/>
    </row>
    <row r="20" customFormat="false" ht="15" hidden="false" customHeight="false" outlineLevel="0" collapsed="false">
      <c r="A20" s="11" t="s">
        <v>17</v>
      </c>
      <c r="B20" s="11" t="s">
        <v>18</v>
      </c>
      <c r="C20" s="11" t="s">
        <v>19</v>
      </c>
      <c r="D20" s="11" t="s">
        <v>20</v>
      </c>
    </row>
    <row r="21" customFormat="false" ht="15" hidden="false" customHeight="false" outlineLevel="0" collapsed="false">
      <c r="A21" s="12" t="s">
        <v>21</v>
      </c>
      <c r="B21" s="7" t="s">
        <v>22</v>
      </c>
      <c r="C21" s="13" t="n">
        <f aca="false">30/B16</f>
        <v>3.33333333333333</v>
      </c>
      <c r="D21" s="14" t="n">
        <f aca="false">B8*(30/B16)</f>
        <v>666.666666666667</v>
      </c>
    </row>
    <row r="22" customFormat="false" ht="15" hidden="false" customHeight="false" outlineLevel="0" collapsed="false">
      <c r="A22" s="12" t="s">
        <v>23</v>
      </c>
      <c r="B22" s="7" t="s">
        <v>24</v>
      </c>
      <c r="C22" s="13" t="n">
        <f aca="false">2</f>
        <v>2</v>
      </c>
      <c r="D22" s="14" t="n">
        <f aca="false">(B11+B12)*2</f>
        <v>400</v>
      </c>
    </row>
    <row r="23" customFormat="false" ht="15" hidden="false" customHeight="false" outlineLevel="0" collapsed="false">
      <c r="A23" s="12" t="s">
        <v>25</v>
      </c>
      <c r="B23" s="7" t="s">
        <v>26</v>
      </c>
      <c r="C23" s="13" t="n">
        <f aca="false">2</f>
        <v>2</v>
      </c>
      <c r="D23" s="14" t="n">
        <f aca="false">B8*2</f>
        <v>400</v>
      </c>
    </row>
    <row r="24" customFormat="false" ht="15" hidden="false" customHeight="false" outlineLevel="0" collapsed="false">
      <c r="A24" s="12" t="s">
        <v>27</v>
      </c>
      <c r="B24" s="7" t="s">
        <v>28</v>
      </c>
      <c r="C24" s="13" t="n">
        <f aca="false">2</f>
        <v>2</v>
      </c>
      <c r="D24" s="14" t="n">
        <f aca="false">(B13+B14)*2</f>
        <v>400</v>
      </c>
    </row>
    <row r="26" customFormat="false" ht="15" hidden="false" customHeight="false" outlineLevel="0" collapsed="false">
      <c r="A26" s="15" t="s">
        <v>29</v>
      </c>
      <c r="D26" s="16" t="n">
        <f aca="false">B8*2</f>
        <v>400</v>
      </c>
    </row>
    <row r="27" customFormat="false" ht="15" hidden="false" customHeight="false" outlineLevel="0" collapsed="false">
      <c r="A27" s="17" t="s">
        <v>30</v>
      </c>
      <c r="D27" s="18" t="n">
        <f aca="false">B8*(30/7)</f>
        <v>857.142857142857</v>
      </c>
    </row>
    <row r="29" customFormat="false" ht="15" hidden="false" customHeight="false" outlineLevel="0" collapsed="false">
      <c r="A29" s="19" t="s">
        <v>31</v>
      </c>
      <c r="B29" s="19"/>
      <c r="C29" s="19"/>
      <c r="D29" s="19"/>
      <c r="E29" s="19"/>
    </row>
  </sheetData>
  <mergeCells count="5">
    <mergeCell ref="A1:E1"/>
    <mergeCell ref="A5:E5"/>
    <mergeCell ref="A7:E7"/>
    <mergeCell ref="A19:E19"/>
    <mergeCell ref="A29:E2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12"/>
    <col collapsed="false" customWidth="true" hidden="false" outlineLevel="0" max="3" min="3" style="0" width="20"/>
    <col collapsed="false" customWidth="true" hidden="false" outlineLevel="0" max="4" min="4" style="0" width="12"/>
    <col collapsed="false" customWidth="true" hidden="false" outlineLevel="0" max="5" min="5" style="0" width="20"/>
    <col collapsed="false" customWidth="true" hidden="false" outlineLevel="0" max="6" min="6" style="0" width="16"/>
    <col collapsed="false" customWidth="true" hidden="false" outlineLevel="0" max="7" min="7" style="0" width="18"/>
  </cols>
  <sheetData>
    <row r="1" customFormat="false" ht="27.75" hidden="false" customHeight="true" outlineLevel="0" collapsed="false">
      <c r="A1" s="1" t="s">
        <v>32</v>
      </c>
      <c r="B1" s="1"/>
      <c r="C1" s="1"/>
      <c r="D1" s="1"/>
      <c r="E1" s="1"/>
      <c r="F1" s="1"/>
      <c r="G1" s="1"/>
      <c r="H1" s="1"/>
    </row>
    <row r="3" customFormat="false" ht="15" hidden="false" customHeight="false" outlineLevel="0" collapsed="false">
      <c r="A3" s="2" t="s">
        <v>33</v>
      </c>
    </row>
    <row r="4" customFormat="false" ht="15" hidden="false" customHeight="false" outlineLevel="0" collapsed="false">
      <c r="A4" s="5" t="s">
        <v>34</v>
      </c>
      <c r="B4" s="5"/>
      <c r="C4" s="5"/>
      <c r="D4" s="5"/>
      <c r="E4" s="5"/>
      <c r="F4" s="5"/>
      <c r="G4" s="5"/>
      <c r="H4" s="5"/>
    </row>
    <row r="6" customFormat="false" ht="26.85" hidden="false" customHeight="false" outlineLevel="0" collapsed="false">
      <c r="A6" s="11" t="s">
        <v>35</v>
      </c>
      <c r="B6" s="11" t="s">
        <v>36</v>
      </c>
      <c r="C6" s="11" t="s">
        <v>37</v>
      </c>
      <c r="D6" s="11" t="s">
        <v>38</v>
      </c>
      <c r="E6" s="11" t="s">
        <v>39</v>
      </c>
      <c r="F6" s="11" t="s">
        <v>40</v>
      </c>
      <c r="G6" s="11" t="s">
        <v>41</v>
      </c>
    </row>
    <row r="7" customFormat="false" ht="15" hidden="false" customHeight="false" outlineLevel="0" collapsed="false">
      <c r="A7" s="7" t="n">
        <v>1</v>
      </c>
      <c r="B7" s="10" t="n">
        <v>1</v>
      </c>
      <c r="C7" s="10" t="n">
        <v>7</v>
      </c>
      <c r="D7" s="20" t="n">
        <f aca="false">B7+C7-1</f>
        <v>7</v>
      </c>
      <c r="E7" s="21" t="str">
        <f aca="false">IF(C7&lt;=Resumen!$B$15,"Si","No")</f>
        <v>Si</v>
      </c>
      <c r="F7" s="14" t="n">
        <f aca="false">IF(E7="Si",Resumen!$B$8,0)</f>
        <v>200</v>
      </c>
      <c r="G7" s="21" t="str">
        <f aca="false">IF(D7&lt;=30,"Si","No")</f>
        <v>Si</v>
      </c>
    </row>
    <row r="8" customFormat="false" ht="15" hidden="false" customHeight="false" outlineLevel="0" collapsed="false">
      <c r="A8" s="7" t="n">
        <v>2</v>
      </c>
      <c r="B8" s="20" t="n">
        <f aca="false">D7+1</f>
        <v>8</v>
      </c>
      <c r="C8" s="10" t="n">
        <v>9</v>
      </c>
      <c r="D8" s="20" t="n">
        <f aca="false">B8+C8-1</f>
        <v>16</v>
      </c>
      <c r="E8" s="21" t="str">
        <f aca="false">IF(C8&lt;=Resumen!$B$15,"Si","No")</f>
        <v>Si</v>
      </c>
      <c r="F8" s="14" t="n">
        <f aca="false">IF(E8="Si",Resumen!$B$8,0)</f>
        <v>200</v>
      </c>
      <c r="G8" s="21" t="str">
        <f aca="false">IF(D8&lt;=30,"Si","No")</f>
        <v>Si</v>
      </c>
    </row>
    <row r="9" customFormat="false" ht="15" hidden="false" customHeight="false" outlineLevel="0" collapsed="false">
      <c r="A9" s="7" t="n">
        <v>3</v>
      </c>
      <c r="B9" s="20" t="n">
        <f aca="false">D8+1</f>
        <v>17</v>
      </c>
      <c r="C9" s="10" t="n">
        <v>8</v>
      </c>
      <c r="D9" s="20" t="n">
        <f aca="false">B9+C9-1</f>
        <v>24</v>
      </c>
      <c r="E9" s="21" t="str">
        <f aca="false">IF(C9&lt;=Resumen!$B$15,"Si","No")</f>
        <v>Si</v>
      </c>
      <c r="F9" s="14" t="n">
        <f aca="false">IF(E9="Si",Resumen!$B$8,0)</f>
        <v>200</v>
      </c>
      <c r="G9" s="21" t="str">
        <f aca="false">IF(D9&lt;=30,"Si","No")</f>
        <v>Si</v>
      </c>
    </row>
    <row r="10" customFormat="false" ht="15" hidden="false" customHeight="false" outlineLevel="0" collapsed="false">
      <c r="A10" s="7" t="n">
        <v>4</v>
      </c>
      <c r="B10" s="20" t="n">
        <f aca="false">D9+1</f>
        <v>25</v>
      </c>
      <c r="C10" s="10" t="n">
        <v>10</v>
      </c>
      <c r="D10" s="20" t="n">
        <f aca="false">B10+C10-1</f>
        <v>34</v>
      </c>
      <c r="E10" s="21" t="str">
        <f aca="false">IF(C10&lt;=Resumen!$B$15,"Si","No")</f>
        <v>Si</v>
      </c>
      <c r="F10" s="14" t="n">
        <f aca="false">IF(E10="Si",Resumen!$B$8,0)</f>
        <v>200</v>
      </c>
      <c r="G10" s="21" t="str">
        <f aca="false">IF(D10&lt;=30,"Si","No")</f>
        <v>No</v>
      </c>
    </row>
    <row r="11" customFormat="false" ht="15" hidden="false" customHeight="false" outlineLevel="0" collapsed="false">
      <c r="A11" s="7" t="n">
        <v>5</v>
      </c>
      <c r="B11" s="20" t="n">
        <f aca="false">D10+1</f>
        <v>35</v>
      </c>
      <c r="C11" s="10" t="n">
        <v>9</v>
      </c>
      <c r="D11" s="20" t="n">
        <f aca="false">B11+C11-1</f>
        <v>43</v>
      </c>
      <c r="E11" s="21" t="str">
        <f aca="false">IF(C11&lt;=Resumen!$B$15,"Si","No")</f>
        <v>Si</v>
      </c>
      <c r="F11" s="14" t="n">
        <f aca="false">IF(E11="Si",Resumen!$B$8,0)</f>
        <v>200</v>
      </c>
      <c r="G11" s="21" t="str">
        <f aca="false">IF(D11&lt;=30,"Si","No")</f>
        <v>No</v>
      </c>
    </row>
    <row r="12" customFormat="false" ht="15" hidden="false" customHeight="false" outlineLevel="0" collapsed="false">
      <c r="A12" s="7" t="n">
        <v>6</v>
      </c>
      <c r="B12" s="20" t="n">
        <f aca="false">D11+1</f>
        <v>44</v>
      </c>
      <c r="C12" s="10" t="n">
        <v>8</v>
      </c>
      <c r="D12" s="20" t="n">
        <f aca="false">B12+C12-1</f>
        <v>51</v>
      </c>
      <c r="E12" s="21" t="str">
        <f aca="false">IF(C12&lt;=Resumen!$B$15,"Si","No")</f>
        <v>Si</v>
      </c>
      <c r="F12" s="14" t="n">
        <f aca="false">IF(E12="Si",Resumen!$B$8,0)</f>
        <v>200</v>
      </c>
      <c r="G12" s="21" t="str">
        <f aca="false">IF(D12&lt;=30,"Si","No")</f>
        <v>No</v>
      </c>
    </row>
    <row r="14" customFormat="false" ht="15" hidden="false" customHeight="false" outlineLevel="0" collapsed="false">
      <c r="A14" s="6" t="s">
        <v>42</v>
      </c>
      <c r="B14" s="6"/>
      <c r="C14" s="6"/>
      <c r="D14" s="6"/>
      <c r="E14" s="6"/>
      <c r="F14" s="6"/>
      <c r="G14" s="6"/>
    </row>
    <row r="15" customFormat="false" ht="15" hidden="false" customHeight="false" outlineLevel="0" collapsed="false">
      <c r="A15" s="22" t="s">
        <v>43</v>
      </c>
      <c r="B15" s="22"/>
      <c r="C15" s="22"/>
      <c r="D15" s="23" t="n">
        <f aca="false">COUNTIF(G7:G12,"Si")</f>
        <v>3</v>
      </c>
    </row>
    <row r="16" customFormat="false" ht="15" hidden="false" customHeight="false" outlineLevel="0" collapsed="false">
      <c r="A16" s="22" t="s">
        <v>44</v>
      </c>
      <c r="B16" s="22"/>
      <c r="C16" s="22"/>
      <c r="D16" s="24" t="n">
        <f aca="false">SUMPRODUCT((G7:G12="Si")*F7:F12)</f>
        <v>600</v>
      </c>
    </row>
  </sheetData>
  <mergeCells count="3">
    <mergeCell ref="A1:H1"/>
    <mergeCell ref="A4:H4"/>
    <mergeCell ref="A14:G1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3" min="2" style="0" width="26"/>
    <col collapsed="false" customWidth="true" hidden="false" outlineLevel="0" max="6" min="4" style="0" width="20"/>
  </cols>
  <sheetData>
    <row r="1" customFormat="false" ht="27.75" hidden="false" customHeight="true" outlineLevel="0" collapsed="false">
      <c r="A1" s="1" t="s">
        <v>45</v>
      </c>
      <c r="B1" s="1"/>
      <c r="C1" s="1"/>
      <c r="D1" s="1"/>
      <c r="E1" s="1"/>
      <c r="F1" s="1"/>
      <c r="G1" s="1"/>
      <c r="H1" s="1"/>
    </row>
    <row r="3" customFormat="false" ht="15" hidden="false" customHeight="false" outlineLevel="0" collapsed="false">
      <c r="A3" s="2" t="s">
        <v>33</v>
      </c>
    </row>
    <row r="4" customFormat="false" ht="15" hidden="false" customHeight="false" outlineLevel="0" collapsed="false">
      <c r="A4" s="5" t="s">
        <v>46</v>
      </c>
      <c r="B4" s="5"/>
      <c r="C4" s="5"/>
      <c r="D4" s="5"/>
      <c r="E4" s="5"/>
      <c r="F4" s="5"/>
      <c r="G4" s="5"/>
      <c r="H4" s="5"/>
    </row>
    <row r="6" customFormat="false" ht="15" hidden="false" customHeight="false" outlineLevel="0" collapsed="false">
      <c r="A6" s="11" t="s">
        <v>47</v>
      </c>
      <c r="B6" s="11" t="s">
        <v>48</v>
      </c>
      <c r="C6" s="11" t="s">
        <v>49</v>
      </c>
      <c r="D6" s="11" t="s">
        <v>50</v>
      </c>
      <c r="E6" s="11" t="s">
        <v>51</v>
      </c>
      <c r="F6" s="11" t="s">
        <v>52</v>
      </c>
    </row>
    <row r="7" customFormat="false" ht="15" hidden="false" customHeight="false" outlineLevel="0" collapsed="false">
      <c r="A7" s="7" t="n">
        <v>1</v>
      </c>
      <c r="B7" s="10" t="n">
        <v>6</v>
      </c>
      <c r="C7" s="10" t="n">
        <v>9</v>
      </c>
      <c r="D7" s="14" t="n">
        <f aca="false">IF(AND(ISNUMBER(B7),B7&lt;=Resumen!$B$17),Resumen!$B$11,0)+IF(AND(ISNUMBER(C7),C7&lt;=Resumen!$B$17),Resumen!$B$12,0)</f>
        <v>200</v>
      </c>
      <c r="E7" s="14" t="n">
        <f aca="false">IF(AND(ISNUMBER(C7),C7&lt;=Resumen!$B$17),Resumen!$B$8,0)</f>
        <v>200</v>
      </c>
      <c r="F7" s="14" t="n">
        <f aca="false">IF(AND(ISNUMBER(B7),B7&lt;=Resumen!$B$17),Resumen!$B$13,0)+IF(AND(ISNUMBER(C7),C7&lt;=Resumen!$B$17),Resumen!$B$14,0)</f>
        <v>200</v>
      </c>
    </row>
    <row r="8" customFormat="false" ht="15" hidden="false" customHeight="false" outlineLevel="0" collapsed="false">
      <c r="A8" s="7" t="n">
        <v>2</v>
      </c>
      <c r="B8" s="10" t="n">
        <v>8</v>
      </c>
      <c r="C8" s="10" t="n">
        <v>14</v>
      </c>
      <c r="D8" s="14" t="n">
        <f aca="false">IF(AND(ISNUMBER(B8),B8&lt;=Resumen!$B$17),Resumen!$B$11,0)+IF(AND(ISNUMBER(C8),C8&lt;=Resumen!$B$17),Resumen!$B$12,0)</f>
        <v>200</v>
      </c>
      <c r="E8" s="14" t="n">
        <f aca="false">IF(AND(ISNUMBER(C8),C8&lt;=Resumen!$B$17),Resumen!$B$8,0)</f>
        <v>200</v>
      </c>
      <c r="F8" s="14" t="n">
        <f aca="false">IF(AND(ISNUMBER(B8),B8&lt;=Resumen!$B$17),Resumen!$B$13,0)+IF(AND(ISNUMBER(C8),C8&lt;=Resumen!$B$17),Resumen!$B$14,0)</f>
        <v>200</v>
      </c>
    </row>
    <row r="9" customFormat="false" ht="15" hidden="false" customHeight="false" outlineLevel="0" collapsed="false">
      <c r="A9" s="7" t="n">
        <v>3</v>
      </c>
      <c r="B9" s="10" t="n">
        <v>5</v>
      </c>
      <c r="C9" s="10" t="n">
        <v>8</v>
      </c>
      <c r="D9" s="14" t="n">
        <f aca="false">IF(AND(ISNUMBER(B9),B9&lt;=Resumen!$B$17),Resumen!$B$11,0)+IF(AND(ISNUMBER(C9),C9&lt;=Resumen!$B$17),Resumen!$B$12,0)</f>
        <v>200</v>
      </c>
      <c r="E9" s="14" t="n">
        <f aca="false">IF(AND(ISNUMBER(C9),C9&lt;=Resumen!$B$17),Resumen!$B$8,0)</f>
        <v>200</v>
      </c>
      <c r="F9" s="14" t="n">
        <f aca="false">IF(AND(ISNUMBER(B9),B9&lt;=Resumen!$B$17),Resumen!$B$13,0)+IF(AND(ISNUMBER(C9),C9&lt;=Resumen!$B$17),Resumen!$B$14,0)</f>
        <v>200</v>
      </c>
    </row>
    <row r="10" customFormat="false" ht="15" hidden="false" customHeight="false" outlineLevel="0" collapsed="false">
      <c r="A10" s="7" t="n">
        <v>4</v>
      </c>
      <c r="B10" s="10" t="n">
        <v>9</v>
      </c>
      <c r="C10" s="10"/>
      <c r="D10" s="14" t="n">
        <f aca="false">IF(AND(ISNUMBER(B10),B10&lt;=Resumen!$B$17),Resumen!$B$11,0)+IF(AND(ISNUMBER(C10),C10&lt;=Resumen!$B$17),Resumen!$B$12,0)</f>
        <v>100</v>
      </c>
      <c r="E10" s="14" t="n">
        <f aca="false">IF(AND(ISNUMBER(C10),C10&lt;=Resumen!$B$17),Resumen!$B$8,0)</f>
        <v>0</v>
      </c>
      <c r="F10" s="14" t="n">
        <f aca="false">IF(AND(ISNUMBER(B10),B10&lt;=Resumen!$B$17),Resumen!$B$13,0)+IF(AND(ISNUMBER(C10),C10&lt;=Resumen!$B$17),Resumen!$B$14,0)</f>
        <v>70</v>
      </c>
    </row>
    <row r="11" customFormat="false" ht="15" hidden="false" customHeight="false" outlineLevel="0" collapsed="false">
      <c r="A11" s="25" t="s">
        <v>53</v>
      </c>
      <c r="B11" s="26"/>
      <c r="C11" s="26"/>
      <c r="D11" s="27" t="n">
        <f aca="false">SUM(D7:D10)</f>
        <v>700</v>
      </c>
      <c r="E11" s="27" t="n">
        <f aca="false">SUM(E7:E10)</f>
        <v>600</v>
      </c>
      <c r="F11" s="27" t="n">
        <f aca="false">SUM(F7:F10)</f>
        <v>670</v>
      </c>
    </row>
    <row r="13" customFormat="false" ht="15" hidden="false" customHeight="false" outlineLevel="0" collapsed="false">
      <c r="A13" s="28" t="s">
        <v>54</v>
      </c>
      <c r="B13" s="22"/>
      <c r="C13" s="22"/>
      <c r="D13" s="24" t="n">
        <f aca="false">D11/(4/2)</f>
        <v>350</v>
      </c>
      <c r="E13" s="24" t="n">
        <f aca="false">E11/(4/2)</f>
        <v>300</v>
      </c>
      <c r="F13" s="24" t="n">
        <f aca="false">F11/(4/2)</f>
        <v>335</v>
      </c>
    </row>
    <row r="15" customFormat="false" ht="15" hidden="false" customHeight="false" outlineLevel="0" collapsed="false">
      <c r="A15" s="19" t="s">
        <v>55</v>
      </c>
      <c r="B15" s="19"/>
      <c r="C15" s="19"/>
      <c r="D15" s="19"/>
      <c r="E15" s="19"/>
      <c r="F15" s="19"/>
      <c r="G15" s="19"/>
      <c r="H15" s="19"/>
    </row>
  </sheetData>
  <mergeCells count="3">
    <mergeCell ref="A1:H1"/>
    <mergeCell ref="A4:H4"/>
    <mergeCell ref="A15:H1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2026-09-21T16:12:18Z</dcterms:created>
  <dc:creator>openpyxl</dc:creator>
  <dc:description/>
  <dc:language>en-US</dc:language>
  <cp:lastModifiedBy/>
  <dcterms:modified xsi:type="dcterms:W3CDTF">2026-09-21T16:13:12Z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