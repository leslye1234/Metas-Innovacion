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Escenario Actual" sheetId="2" state="visible" r:id="rId4"/>
    <sheet name="Estrategias por Quincena" sheetId="3" state="visible" r:id="rId5"/>
    <sheet name="Datos de Campo (Rodrigo)" sheetId="4" state="visible" r:id="rId6"/>
    <sheet name="Analisis Real y Calculado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<sst xmlns="http://schemas.openxmlformats.org/spreadsheetml/2006/main" count="152" uniqueCount="134">
  <si>
    <t xml:space="preserve">Incentivos de Volanteo - Escenario Actual y Estrategias de Pago</t>
  </si>
  <si>
    <t xml:space="preserve">Leyenda:</t>
  </si>
  <si>
    <t xml:space="preserve">Celda editable</t>
  </si>
  <si>
    <t xml:space="preserve">Celda calculada</t>
  </si>
  <si>
    <t xml:space="preserve">Regla base (no cambia en ninguna estrategia): 500 volanteos registrados y validados por TODO el equipo = S/200 de bono. Ya no existe un bono individual por persona.</t>
  </si>
  <si>
    <t xml:space="preserve">PARAMETROS</t>
  </si>
  <si>
    <t xml:space="preserve">Bono total por hito de 500 (S/)</t>
  </si>
  <si>
    <t xml:space="preserve">Umbral de avance intermedio (volanteos)</t>
  </si>
  <si>
    <t xml:space="preserve">Umbral final (volanteos)</t>
  </si>
  <si>
    <t xml:space="preserve">Estrategia 1 - Tramo 1 (S/)</t>
  </si>
  <si>
    <t xml:space="preserve">Estrategia 1 - Tramo 2 (S/)</t>
  </si>
  <si>
    <t xml:space="preserve">Estrategia 3 - Anticipo (S/)</t>
  </si>
  <si>
    <t xml:space="preserve">Estrategia 3 - Saldo (S/)</t>
  </si>
  <si>
    <t xml:space="preserve">Dias del ciclo actual (ventana maxima)</t>
  </si>
  <si>
    <t xml:space="preserve">Dias promedio real del ciclo actual</t>
  </si>
  <si>
    <t xml:space="preserve">Dias de la quincena (estrategias 1, 2 y 3)</t>
  </si>
  <si>
    <t xml:space="preserve">COMPARACION</t>
  </si>
  <si>
    <t xml:space="preserve">Opcion</t>
  </si>
  <si>
    <t xml:space="preserve">Estructura del bono</t>
  </si>
  <si>
    <t xml:space="preserve">Pagos maximos / mes</t>
  </si>
  <si>
    <t xml:space="preserve">Costo mensual estimado (S/)</t>
  </si>
  <si>
    <t xml:space="preserve">Escenario actual</t>
  </si>
  <si>
    <t xml:space="preserve">Pago unico S/200 cada 7-10 dias</t>
  </si>
  <si>
    <t xml:space="preserve">Estrategia 1 - Tramos iguales</t>
  </si>
  <si>
    <t xml:space="preserve">S/100 + S/100 por quincena</t>
  </si>
  <si>
    <t xml:space="preserve">Estrategia 2 - Ventana larga</t>
  </si>
  <si>
    <t xml:space="preserve">Pago unico S/200 por quincena</t>
  </si>
  <si>
    <t xml:space="preserve">Estrategia 3 - Anticipo + saldo</t>
  </si>
  <si>
    <t xml:space="preserve">S/70 + S/130 por quincena</t>
  </si>
  <si>
    <t xml:space="preserve">Techo natural de gasto con pago quincenal (2 pagos maximo/mes)</t>
  </si>
  <si>
    <t xml:space="preserve">Costo si el ciclo actual fuera siempre de 7 dias (peor caso para el bolsillo)</t>
  </si>
  <si>
    <t xml:space="preserve">Nota: las 3 estrategias no bajan el monto del bono (sigue siendo S/200 por hito), solo cambian cuando y en cuantas partes se paga. Al limitar el pago a la fecha de planilla quincenal, el gasto mensual queda topado en 2 pagos, sin importar que tan rapido cumpla el equipo.</t>
  </si>
  <si>
    <t xml:space="preserve">Escenario Actual - Bitacora de Ciclos Reales</t>
  </si>
  <si>
    <t xml:space="preserve">Como se usa:</t>
  </si>
  <si>
    <t xml:space="preserve">Cada fila es un ciclo real. Anota cuantos dias tardo TODO el equipo en juntar 500 volanteos registrados.</t>
  </si>
  <si>
    <t xml:space="preserve">Ciclo</t>
  </si>
  <si>
    <t xml:space="preserve">Dia de inicio</t>
  </si>
  <si>
    <t xml:space="preserve">Dias que tardaron en llegar a 500</t>
  </si>
  <si>
    <t xml:space="preserve">Dia de corte</t>
  </si>
  <si>
    <t xml:space="preserve">Llego dentro de la ventana?</t>
  </si>
  <si>
    <t xml:space="preserve">Bono pagado (S/)</t>
  </si>
  <si>
    <t xml:space="preserve">Dentro del mes (dia &lt;= 30)?</t>
  </si>
  <si>
    <t xml:space="preserve">RESUMEN DEL MES</t>
  </si>
  <si>
    <t xml:space="preserve">Ciclos que cerraron dentro del mes</t>
  </si>
  <si>
    <t xml:space="preserve">Bono total pagado en el mes (S/)</t>
  </si>
  <si>
    <t xml:space="preserve">Comparacion de las 3 Estrategias, Quincena a Quincena</t>
  </si>
  <si>
    <t xml:space="preserve">Por cada quincena, anota en que dia (1 a 15) el equipo llego a 300 y a 500 volanteos registrados. Deja en blanco si no llegaron. Las 3 estrategias se calculan solas, a partir de los mismos 2 datos.</t>
  </si>
  <si>
    <t xml:space="preserve">Quincena</t>
  </si>
  <si>
    <t xml:space="preserve">Dia en que llegaron a 300 (1-15)</t>
  </si>
  <si>
    <t xml:space="preserve">Dia en que llegaron a 500 (1-15)</t>
  </si>
  <si>
    <t xml:space="preserve">Pago Estrategia 1 (S/)</t>
  </si>
  <si>
    <t xml:space="preserve">Pago Estrategia 2 (S/)</t>
  </si>
  <si>
    <t xml:space="preserve">Pago Estrategia 3 (S/)</t>
  </si>
  <si>
    <t xml:space="preserve">TOTAL</t>
  </si>
  <si>
    <t xml:space="preserve">Promedio mensual (2 quincenas = 1 mes)</t>
  </si>
  <si>
    <t xml:space="preserve">Nota: con estos 4 ejemplos (2 meses), se ve que las 3 estrategias reparten el mismo dinero de forma distinta segun que tan rapido llega el equipo a cada umbral. Cambia los dias de ejemplo por tus datos reales para comparar.</t>
  </si>
  <si>
    <t xml:space="preserve">Datos de Campo - Reunion con Rodrigo (24 set.)</t>
  </si>
  <si>
    <t xml:space="preserve">PARAMETROS REALES</t>
  </si>
  <si>
    <t xml:space="preserve">Personas fijas confirmadas (Marcia)</t>
  </si>
  <si>
    <t xml:space="preserve">Meta individual (volanteos/persona/dia)</t>
  </si>
  <si>
    <t xml:space="preserve">Sueldo minimo mensual referencial (S/)</t>
  </si>
  <si>
    <t xml:space="preserve">Dias laborables / mes (para el asesor)</t>
  </si>
  <si>
    <t xml:space="preserve">Comision sugerida por afiliacion al asesor (S/)</t>
  </si>
  <si>
    <t xml:space="preserve">Bono de equipo en negociacion - minimo (S//dia)</t>
  </si>
  <si>
    <t xml:space="preserve">Bono de equipo en negociacion - recomendado (S//dia)</t>
  </si>
  <si>
    <t xml:space="preserve">Bono de equipo en negociacion - maximo (S//dia)</t>
  </si>
  <si>
    <t xml:space="preserve">Dias de pago considerados por semana</t>
  </si>
  <si>
    <t xml:space="preserve">Dias que trabaja el equipo por mes</t>
  </si>
  <si>
    <t xml:space="preserve">PISO ECONOMICO (sanity check de la meta)</t>
  </si>
  <si>
    <t xml:space="preserve">Sueldo minimo por dia (S/)</t>
  </si>
  <si>
    <t xml:space="preserve">Afiliaciones/dia necesarias para igualar el sueldo minimo (a la comision de arriba)</t>
  </si>
  <si>
    <t xml:space="preserve">Equivalente por hora (jornada de 8h)</t>
  </si>
  <si>
    <t xml:space="preserve">Meta de 100/dia vs. ese piso (veces)</t>
  </si>
  <si>
    <t xml:space="preserve">BONO DE EQUIPO - EQUIVALENTES</t>
  </si>
  <si>
    <t xml:space="preserve">Minimo</t>
  </si>
  <si>
    <t xml:space="preserve">Recomendado</t>
  </si>
  <si>
    <t xml:space="preserve">Maximo</t>
  </si>
  <si>
    <t xml:space="preserve">Por dia (S/)</t>
  </si>
  <si>
    <t xml:space="preserve">Por semana (S/)</t>
  </si>
  <si>
    <t xml:space="preserve">Por mes (S/)</t>
  </si>
  <si>
    <t xml:space="preserve">RECOMENDACIONES OPERATIVAS DE LA LLAMADA</t>
  </si>
  <si>
    <t xml:space="preserve">Horario recomendado</t>
  </si>
  <si>
    <t xml:space="preserve">Casi no hay movimiento en la manana; sube desde el mediodia y el pico mas alto es a las 7:00 p.m., con buen movimiento entre 5 y 9 p.m. Sugerencia: turnos de 12 p.m. a 9 p.m. (o 1 a 9), en vez de horario de oficina.</t>
  </si>
  <si>
    <t xml:space="preserve">Elegibilidad ampliada</t>
  </si>
  <si>
    <t xml:space="preserve">El bono ya no aplica solo a afiliaciones GNV: ahora cuenta la afiliacion de cualquier tipo de vehiculo, lo que hace la meta mas facil de alcanzar.</t>
  </si>
  <si>
    <t xml:space="preserve">Quien decide el reparto interno</t>
  </si>
  <si>
    <t xml:space="preserve">Nosotros damos el bono de equipo y los datos de horas pico. Como Marcia reparte ese dinero entre sus 8 fijos y como arma los turnos, es decision de ella.</t>
  </si>
  <si>
    <t xml:space="preserve">NOTA DE RECONCILIACION CON LA HOJA 'RESUMEN'</t>
  </si>
  <si>
    <t xml:space="preserve">Este bono de equipo (S/120-160/dia, recomendado S/150) es la cifra real que salio de la negociacion con Marcia y con Rodrigo. Reemplaza al S/200 por cada 500 volanteos que se uso como referencia inicial en la hoja 'Resumen'. Antes de tomar una decision final con las hojas 'Escenario Actual' y 'Estrategias por Quincena', actualiza el parametro 'Bono total por hito' de la hoja Resumen con el monto que se termine de negociar aqui, y ajusta 'Numero de personas fijas' a 8 donde aplique.</t>
  </si>
  <si>
    <t xml:space="preserve">Analisis Real de Afiliaciones y Calculadora de Meta</t>
  </si>
  <si>
    <t xml:space="preserve">DATOS REALES - EQUIPO FIJO DE MARCIA (por semana)</t>
  </si>
  <si>
    <t xml:space="preserve">Semana</t>
  </si>
  <si>
    <t xml:space="preserve">Rango de fechas</t>
  </si>
  <si>
    <t xml:space="preserve">Afiliaciones reales</t>
  </si>
  <si>
    <t xml:space="preserve">Semana 1</t>
  </si>
  <si>
    <t xml:space="preserve">31 ago - 6 set</t>
  </si>
  <si>
    <t xml:space="preserve">Semana 2</t>
  </si>
  <si>
    <t xml:space="preserve">7 - 13 set</t>
  </si>
  <si>
    <t xml:space="preserve">Semana 3</t>
  </si>
  <si>
    <t xml:space="preserve">14 - 20 set</t>
  </si>
  <si>
    <t xml:space="preserve">Semana 4</t>
  </si>
  <si>
    <t xml:space="preserve">21 - 27 set</t>
  </si>
  <si>
    <t xml:space="preserve">Promedio semanal real</t>
  </si>
  <si>
    <t xml:space="preserve">Minimo semanal real</t>
  </si>
  <si>
    <t xml:space="preserve">Maximo semanal real</t>
  </si>
  <si>
    <t xml:space="preserve">DATOS REALES - RED GENERAL DE SCOUTS (por semana completa)</t>
  </si>
  <si>
    <t xml:space="preserve">17 - 23 ago</t>
  </si>
  <si>
    <t xml:space="preserve">24 - 30 ago</t>
  </si>
  <si>
    <t xml:space="preserve">Semana 5</t>
  </si>
  <si>
    <t xml:space="preserve">Promedio / referencia (red de scouts)</t>
  </si>
  <si>
    <t xml:space="preserve">QUINCENAS REALES (2 semanas seguidas, equipo de Marcia)</t>
  </si>
  <si>
    <t xml:space="preserve">Suma de 2 semanas seguidas</t>
  </si>
  <si>
    <t xml:space="preserve">S1+S2</t>
  </si>
  <si>
    <t xml:space="preserve">S2+S3</t>
  </si>
  <si>
    <t xml:space="preserve">S3+S4</t>
  </si>
  <si>
    <t xml:space="preserve">Minimo / Maximo quincenal real</t>
  </si>
  <si>
    <t xml:space="preserve">PROYECCIONES (extrapoladas del ritmo semanal real)</t>
  </si>
  <si>
    <t xml:space="preserve">Semanas por mes (factor de extrapolacion)</t>
  </si>
  <si>
    <t xml:space="preserve">Minimo mensual estimado (= minimo semanal x semanas/mes)</t>
  </si>
  <si>
    <t xml:space="preserve">Maximo mensual estimado (= maximo semanal x semanas/mes)</t>
  </si>
  <si>
    <t xml:space="preserve">Minimo estimado a 2 meses</t>
  </si>
  <si>
    <t xml:space="preserve">Maximo estimado a 2 meses</t>
  </si>
  <si>
    <t xml:space="preserve">CALCULADORA - ELIGE UNA META (minimo 500, por regla del negocio)</t>
  </si>
  <si>
    <t xml:space="preserve">Meta de volanteos (minimo 500)</t>
  </si>
  <si>
    <t xml:space="preserve">Periodo (escribe: Semana, Quincena, Mes o Dos meses)</t>
  </si>
  <si>
    <t xml:space="preserve">Mes</t>
  </si>
  <si>
    <t xml:space="preserve">Bono por periodo cumplido (S/)</t>
  </si>
  <si>
    <t xml:space="preserve">RESULTADOS</t>
  </si>
  <si>
    <t xml:space="preserve">Minimo real/estimado de referencia</t>
  </si>
  <si>
    <t xml:space="preserve">Maximo real/estimado de referencia</t>
  </si>
  <si>
    <t xml:space="preserve">Factibilidad de la meta elegida</t>
  </si>
  <si>
    <t xml:space="preserve">Veces que se paga al mes</t>
  </si>
  <si>
    <t xml:space="preserve">Gasto total del mes (si cumplen cada periodo)</t>
  </si>
  <si>
    <t xml:space="preserve">Nota: la meta minima es 500 por regla del negocio. Semana y Quincena usan datos REALES; Mes y Dos meses son ESTIMADOS (se extrapola el rango semanal real x el factor de arriba), porque todavia no hay un mes completo de registros. Cambiar la META no cambia el gasto mensual (el bono siempre es S/200 por periodo cumplido, para todo el equipo); lo que cambia el gasto es el PERIODO elegido.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</si>
</sst>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S/ &quot;#,##0;&quot;(S/ &quot;#,##0\);\-"/>
    <numFmt numFmtId="166" formatCode="#,##0;\(#,##0\);\-"/>
    <numFmt numFmtId="167" formatCode="0&quot; dias&quot;"/>
    <numFmt numFmtId="168" formatCode="0"/>
    <numFmt numFmtId="169" formatCode="&quot;S/ &quot;#,##0.0;&quot;(S/ &quot;#,##0.0\);\-"/>
    <numFmt numFmtId="170" formatCode="#,##0.0;\(#,##0.0\);\-"/>
    <numFmt numFmtId="171" formatCode="0.0\x"/>
    <numFmt numFmtId="172" formatCode="#,##0;\(#,##0\);\-"/>
    <numFmt numFmtId="173" formatCode="0.0"/>
    <numFmt numFmtId="174" formatCode="0.00"/>
    <numFmt numFmtId="175" formatCode="&quot;S/ &quot;#,##0;&quot;(S/ 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833C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4" t="s">
        <v>2</v>
      </c>
      <c r="D3" s="5" t="s">
        <v>3</v>
      </c>
    </row>
    <row r="5" customFormat="false" ht="15" hidden="false" customHeight="true" outlineLevel="0" collapsed="false">
      <c r="A5" s="6" t="s">
        <v>4</v>
      </c>
      <c r="B5" s="6"/>
      <c r="C5" s="6"/>
      <c r="D5" s="6"/>
      <c r="E5" s="6"/>
    </row>
    <row r="7" customFormat="false" ht="15" hidden="false" customHeight="true" outlineLevel="0" collapsed="false">
      <c r="A7" s="7" t="s">
        <v>5</v>
      </c>
      <c r="B7" s="7"/>
      <c r="C7" s="7"/>
      <c r="D7" s="7"/>
      <c r="E7" s="7"/>
    </row>
    <row r="8" customFormat="false" ht="15" hidden="false" customHeight="true" outlineLevel="0" collapsed="false">
      <c r="A8" s="8" t="s">
        <v>6</v>
      </c>
      <c r="B8" s="9" t="n">
        <v>200</v>
      </c>
    </row>
    <row r="9" customFormat="false" ht="15" hidden="false" customHeight="true" outlineLevel="0" collapsed="false">
      <c r="A9" s="8" t="s">
        <v>7</v>
      </c>
      <c r="B9" s="10" t="n">
        <v>300</v>
      </c>
    </row>
    <row r="10" customFormat="false" ht="15" hidden="false" customHeight="true" outlineLevel="0" collapsed="false">
      <c r="A10" s="8" t="s">
        <v>8</v>
      </c>
      <c r="B10" s="10" t="n">
        <v>500</v>
      </c>
    </row>
    <row r="11" customFormat="false" ht="15" hidden="false" customHeight="true" outlineLevel="0" collapsed="false">
      <c r="A11" s="8" t="s">
        <v>9</v>
      </c>
      <c r="B11" s="9" t="n">
        <v>100</v>
      </c>
    </row>
    <row r="12" customFormat="false" ht="15" hidden="false" customHeight="true" outlineLevel="0" collapsed="false">
      <c r="A12" s="8" t="s">
        <v>10</v>
      </c>
      <c r="B12" s="9" t="n">
        <v>100</v>
      </c>
    </row>
    <row r="13" customFormat="false" ht="15" hidden="false" customHeight="true" outlineLevel="0" collapsed="false">
      <c r="A13" s="8" t="s">
        <v>11</v>
      </c>
      <c r="B13" s="9" t="n">
        <v>70</v>
      </c>
    </row>
    <row r="14" customFormat="false" ht="15" hidden="false" customHeight="true" outlineLevel="0" collapsed="false">
      <c r="A14" s="8" t="s">
        <v>12</v>
      </c>
      <c r="B14" s="9" t="n">
        <v>130</v>
      </c>
    </row>
    <row r="15" customFormat="false" ht="15" hidden="false" customHeight="true" outlineLevel="0" collapsed="false">
      <c r="A15" s="8" t="s">
        <v>13</v>
      </c>
      <c r="B15" s="11" t="n">
        <v>10</v>
      </c>
    </row>
    <row r="16" customFormat="false" ht="15" hidden="false" customHeight="true" outlineLevel="0" collapsed="false">
      <c r="A16" s="8" t="s">
        <v>14</v>
      </c>
      <c r="B16" s="11" t="n">
        <v>9</v>
      </c>
    </row>
    <row r="17" customFormat="false" ht="15" hidden="false" customHeight="true" outlineLevel="0" collapsed="false">
      <c r="A17" s="8" t="s">
        <v>15</v>
      </c>
      <c r="B17" s="11" t="n">
        <v>15</v>
      </c>
    </row>
    <row r="19" customFormat="false" ht="15" hidden="false" customHeight="true" outlineLevel="0" collapsed="false">
      <c r="A19" s="7" t="s">
        <v>16</v>
      </c>
      <c r="B19" s="7"/>
      <c r="C19" s="7"/>
      <c r="D19" s="7"/>
      <c r="E19" s="7"/>
    </row>
    <row r="20" customFormat="false" ht="15" hidden="false" customHeight="true" outlineLevel="0" collapsed="false">
      <c r="A20" s="12" t="s">
        <v>17</v>
      </c>
      <c r="B20" s="12" t="s">
        <v>18</v>
      </c>
      <c r="C20" s="12" t="s">
        <v>19</v>
      </c>
      <c r="D20" s="12" t="s">
        <v>20</v>
      </c>
    </row>
    <row r="21" customFormat="false" ht="15" hidden="false" customHeight="true" outlineLevel="0" collapsed="false">
      <c r="A21" s="13" t="s">
        <v>21</v>
      </c>
      <c r="B21" s="8" t="s">
        <v>22</v>
      </c>
      <c r="C21" s="14" t="n">
        <f aca="false">30/B16</f>
        <v>3.33333333333333</v>
      </c>
      <c r="D21" s="15" t="n">
        <f aca="false">B8*(30/B16)</f>
        <v>666.666666666667</v>
      </c>
    </row>
    <row r="22" customFormat="false" ht="15" hidden="false" customHeight="true" outlineLevel="0" collapsed="false">
      <c r="A22" s="13" t="s">
        <v>23</v>
      </c>
      <c r="B22" s="8" t="s">
        <v>24</v>
      </c>
      <c r="C22" s="14" t="n">
        <f aca="false">2</f>
        <v>2</v>
      </c>
      <c r="D22" s="15" t="n">
        <f aca="false">(B11+B12)*2</f>
        <v>400</v>
      </c>
    </row>
    <row r="23" customFormat="false" ht="15" hidden="false" customHeight="true" outlineLevel="0" collapsed="false">
      <c r="A23" s="13" t="s">
        <v>25</v>
      </c>
      <c r="B23" s="8" t="s">
        <v>26</v>
      </c>
      <c r="C23" s="14" t="n">
        <f aca="false">2</f>
        <v>2</v>
      </c>
      <c r="D23" s="15" t="n">
        <f aca="false">B8*2</f>
        <v>400</v>
      </c>
    </row>
    <row r="24" customFormat="false" ht="15" hidden="false" customHeight="true" outlineLevel="0" collapsed="false">
      <c r="A24" s="13" t="s">
        <v>27</v>
      </c>
      <c r="B24" s="8" t="s">
        <v>28</v>
      </c>
      <c r="C24" s="14" t="n">
        <f aca="false">2</f>
        <v>2</v>
      </c>
      <c r="D24" s="15" t="n">
        <f aca="false">(B13+B14)*2</f>
        <v>400</v>
      </c>
    </row>
    <row r="26" customFormat="false" ht="15" hidden="false" customHeight="true" outlineLevel="0" collapsed="false">
      <c r="A26" s="16" t="s">
        <v>29</v>
      </c>
      <c r="D26" s="17" t="n">
        <f aca="false">B8*2</f>
        <v>400</v>
      </c>
    </row>
    <row r="27" customFormat="false" ht="15" hidden="false" customHeight="true" outlineLevel="0" collapsed="false">
      <c r="A27" s="18" t="s">
        <v>30</v>
      </c>
      <c r="D27" s="19" t="n">
        <f aca="false">B8*(30/7)</f>
        <v>857.142857142857</v>
      </c>
    </row>
    <row r="29" customFormat="false" ht="15" hidden="false" customHeight="true" outlineLevel="0" collapsed="false">
      <c r="A29" s="20" t="s">
        <v>31</v>
      </c>
      <c r="B29" s="20"/>
      <c r="C29" s="20"/>
      <c r="D29" s="20"/>
      <c r="E29" s="20"/>
    </row>
  </sheetData>
  <mergeCells count="5">
    <mergeCell ref="A1:E1"/>
    <mergeCell ref="A5:E5"/>
    <mergeCell ref="A7:E7"/>
    <mergeCell ref="A19:E19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27.75" hidden="false" customHeight="true" outlineLevel="0" collapsed="false">
      <c r="A1" s="2" t="s">
        <v>32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33</v>
      </c>
    </row>
    <row r="4" customFormat="false" ht="15" hidden="false" customHeight="true" outlineLevel="0" collapsed="false">
      <c r="A4" s="6" t="s">
        <v>34</v>
      </c>
      <c r="B4" s="6"/>
      <c r="C4" s="6"/>
      <c r="D4" s="6"/>
      <c r="E4" s="6"/>
      <c r="F4" s="6"/>
      <c r="G4" s="6"/>
      <c r="H4" s="6"/>
    </row>
    <row r="6" customFormat="false" ht="26.25" hidden="false" customHeight="true" outlineLevel="0" collapsed="false">
      <c r="A6" s="12" t="s">
        <v>35</v>
      </c>
      <c r="B6" s="12" t="s">
        <v>36</v>
      </c>
      <c r="C6" s="12" t="s">
        <v>37</v>
      </c>
      <c r="D6" s="12" t="s">
        <v>38</v>
      </c>
      <c r="E6" s="12" t="s">
        <v>39</v>
      </c>
      <c r="F6" s="12" t="s">
        <v>40</v>
      </c>
      <c r="G6" s="12" t="s">
        <v>41</v>
      </c>
    </row>
    <row r="7" customFormat="false" ht="15" hidden="false" customHeight="true" outlineLevel="0" collapsed="false">
      <c r="A7" s="8" t="n">
        <v>1</v>
      </c>
      <c r="B7" s="11" t="n">
        <v>1</v>
      </c>
      <c r="C7" s="11" t="n">
        <v>7</v>
      </c>
      <c r="D7" s="21" t="n">
        <f aca="false">B7+C7-1</f>
        <v>7</v>
      </c>
      <c r="E7" s="22" t="str">
        <f aca="false">IF(C7&lt;=Resumen!$B$15,"Si","No")</f>
        <v>Si</v>
      </c>
      <c r="F7" s="15" t="n">
        <f aca="false">IF(E7="Si",Resumen!$B$8,0)</f>
        <v>200</v>
      </c>
      <c r="G7" s="22" t="str">
        <f aca="false">IF(D7&lt;=30,"Si","No")</f>
        <v>Si</v>
      </c>
    </row>
    <row r="8" customFormat="false" ht="15" hidden="false" customHeight="true" outlineLevel="0" collapsed="false">
      <c r="A8" s="8" t="n">
        <v>2</v>
      </c>
      <c r="B8" s="21" t="n">
        <f aca="false">D7+1</f>
        <v>8</v>
      </c>
      <c r="C8" s="11" t="n">
        <v>9</v>
      </c>
      <c r="D8" s="21" t="n">
        <f aca="false">B8+C8-1</f>
        <v>16</v>
      </c>
      <c r="E8" s="22" t="str">
        <f aca="false">IF(C8&lt;=Resumen!$B$15,"Si","No")</f>
        <v>Si</v>
      </c>
      <c r="F8" s="15" t="n">
        <f aca="false">IF(E8="Si",Resumen!$B$8,0)</f>
        <v>200</v>
      </c>
      <c r="G8" s="22" t="str">
        <f aca="false">IF(D8&lt;=30,"Si","No")</f>
        <v>Si</v>
      </c>
    </row>
    <row r="9" customFormat="false" ht="15" hidden="false" customHeight="true" outlineLevel="0" collapsed="false">
      <c r="A9" s="8" t="n">
        <v>3</v>
      </c>
      <c r="B9" s="21" t="n">
        <f aca="false">D8+1</f>
        <v>17</v>
      </c>
      <c r="C9" s="11" t="n">
        <v>8</v>
      </c>
      <c r="D9" s="21" t="n">
        <f aca="false">B9+C9-1</f>
        <v>24</v>
      </c>
      <c r="E9" s="22" t="str">
        <f aca="false">IF(C9&lt;=Resumen!$B$15,"Si","No")</f>
        <v>Si</v>
      </c>
      <c r="F9" s="15" t="n">
        <f aca="false">IF(E9="Si",Resumen!$B$8,0)</f>
        <v>200</v>
      </c>
      <c r="G9" s="22" t="str">
        <f aca="false">IF(D9&lt;=30,"Si","No")</f>
        <v>Si</v>
      </c>
    </row>
    <row r="10" customFormat="false" ht="15" hidden="false" customHeight="true" outlineLevel="0" collapsed="false">
      <c r="A10" s="8" t="n">
        <v>4</v>
      </c>
      <c r="B10" s="21" t="n">
        <f aca="false">D9+1</f>
        <v>25</v>
      </c>
      <c r="C10" s="11" t="n">
        <v>10</v>
      </c>
      <c r="D10" s="21" t="n">
        <f aca="false">B10+C10-1</f>
        <v>34</v>
      </c>
      <c r="E10" s="22" t="str">
        <f aca="false">IF(C10&lt;=Resumen!$B$15,"Si","No")</f>
        <v>Si</v>
      </c>
      <c r="F10" s="15" t="n">
        <f aca="false">IF(E10="Si",Resumen!$B$8,0)</f>
        <v>200</v>
      </c>
      <c r="G10" s="22" t="str">
        <f aca="false">IF(D10&lt;=30,"Si","No")</f>
        <v>No</v>
      </c>
    </row>
    <row r="11" customFormat="false" ht="15" hidden="false" customHeight="true" outlineLevel="0" collapsed="false">
      <c r="A11" s="8" t="n">
        <v>5</v>
      </c>
      <c r="B11" s="21" t="n">
        <f aca="false">D10+1</f>
        <v>35</v>
      </c>
      <c r="C11" s="11" t="n">
        <v>9</v>
      </c>
      <c r="D11" s="21" t="n">
        <f aca="false">B11+C11-1</f>
        <v>43</v>
      </c>
      <c r="E11" s="22" t="str">
        <f aca="false">IF(C11&lt;=Resumen!$B$15,"Si","No")</f>
        <v>Si</v>
      </c>
      <c r="F11" s="15" t="n">
        <f aca="false">IF(E11="Si",Resumen!$B$8,0)</f>
        <v>200</v>
      </c>
      <c r="G11" s="22" t="str">
        <f aca="false">IF(D11&lt;=30,"Si","No")</f>
        <v>No</v>
      </c>
    </row>
    <row r="12" customFormat="false" ht="15" hidden="false" customHeight="true" outlineLevel="0" collapsed="false">
      <c r="A12" s="8" t="n">
        <v>6</v>
      </c>
      <c r="B12" s="21" t="n">
        <f aca="false">D11+1</f>
        <v>44</v>
      </c>
      <c r="C12" s="11" t="n">
        <v>8</v>
      </c>
      <c r="D12" s="21" t="n">
        <f aca="false">B12+C12-1</f>
        <v>51</v>
      </c>
      <c r="E12" s="22" t="str">
        <f aca="false">IF(C12&lt;=Resumen!$B$15,"Si","No")</f>
        <v>Si</v>
      </c>
      <c r="F12" s="15" t="n">
        <f aca="false">IF(E12="Si",Resumen!$B$8,0)</f>
        <v>200</v>
      </c>
      <c r="G12" s="22" t="str">
        <f aca="false">IF(D12&lt;=30,"Si","No")</f>
        <v>No</v>
      </c>
    </row>
    <row r="14" customFormat="false" ht="15" hidden="false" customHeight="true" outlineLevel="0" collapsed="false">
      <c r="A14" s="7" t="s">
        <v>42</v>
      </c>
      <c r="B14" s="7"/>
      <c r="C14" s="7"/>
      <c r="D14" s="7"/>
      <c r="E14" s="7"/>
      <c r="F14" s="7"/>
      <c r="G14" s="7"/>
    </row>
    <row r="15" customFormat="false" ht="15" hidden="false" customHeight="true" outlineLevel="0" collapsed="false">
      <c r="A15" s="23" t="s">
        <v>43</v>
      </c>
      <c r="B15" s="23"/>
      <c r="C15" s="23"/>
      <c r="D15" s="24" t="n">
        <f aca="false">COUNTIF(G7:G12,"Si")</f>
        <v>3</v>
      </c>
    </row>
    <row r="16" customFormat="false" ht="15" hidden="false" customHeight="true" outlineLevel="0" collapsed="false">
      <c r="A16" s="23" t="s">
        <v>44</v>
      </c>
      <c r="B16" s="23"/>
      <c r="C16" s="23"/>
      <c r="D16" s="25" t="n">
        <f aca="false">SUMPRODUCT((G7:G12="Si")*F7:F12)</f>
        <v>600</v>
      </c>
    </row>
  </sheetData>
  <mergeCells count="3">
    <mergeCell ref="A1:H1"/>
    <mergeCell ref="A4:H4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6"/>
    <col collapsed="false" customWidth="true" hidden="false" outlineLevel="0" max="6" min="4" style="1" width="20"/>
  </cols>
  <sheetData>
    <row r="1" customFormat="false" ht="27.7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33</v>
      </c>
    </row>
    <row r="4" customFormat="false" ht="15" hidden="false" customHeight="true" outlineLevel="0" collapsed="false">
      <c r="A4" s="6" t="s">
        <v>46</v>
      </c>
      <c r="B4" s="6"/>
      <c r="C4" s="6"/>
      <c r="D4" s="6"/>
      <c r="E4" s="6"/>
      <c r="F4" s="6"/>
      <c r="G4" s="6"/>
      <c r="H4" s="6"/>
    </row>
    <row r="6" customFormat="false" ht="15" hidden="false" customHeight="true" outlineLevel="0" collapsed="false">
      <c r="A6" s="12" t="s">
        <v>47</v>
      </c>
      <c r="B6" s="12" t="s">
        <v>48</v>
      </c>
      <c r="C6" s="12" t="s">
        <v>49</v>
      </c>
      <c r="D6" s="12" t="s">
        <v>50</v>
      </c>
      <c r="E6" s="12" t="s">
        <v>51</v>
      </c>
      <c r="F6" s="12" t="s">
        <v>52</v>
      </c>
    </row>
    <row r="7" customFormat="false" ht="15" hidden="false" customHeight="true" outlineLevel="0" collapsed="false">
      <c r="A7" s="8" t="n">
        <v>1</v>
      </c>
      <c r="B7" s="11" t="n">
        <v>6</v>
      </c>
      <c r="C7" s="11" t="n">
        <v>9</v>
      </c>
      <c r="D7" s="15" t="n">
        <f aca="false">IF(AND(ISNUMBER(B7),B7&lt;=Resumen!$B$17),Resumen!$B$11,0)+IF(AND(ISNUMBER(C7),C7&lt;=Resumen!$B$17),Resumen!$B$12,0)</f>
        <v>200</v>
      </c>
      <c r="E7" s="15" t="n">
        <f aca="false">IF(AND(ISNUMBER(C7),C7&lt;=Resumen!$B$17),Resumen!$B$8,0)</f>
        <v>200</v>
      </c>
      <c r="F7" s="15" t="n">
        <f aca="false">IF(AND(ISNUMBER(B7),B7&lt;=Resumen!$B$17),Resumen!$B$13,0)+IF(AND(ISNUMBER(C7),C7&lt;=Resumen!$B$17),Resumen!$B$14,0)</f>
        <v>200</v>
      </c>
    </row>
    <row r="8" customFormat="false" ht="15" hidden="false" customHeight="true" outlineLevel="0" collapsed="false">
      <c r="A8" s="8" t="n">
        <v>2</v>
      </c>
      <c r="B8" s="11" t="n">
        <v>8</v>
      </c>
      <c r="C8" s="11" t="n">
        <v>14</v>
      </c>
      <c r="D8" s="15" t="n">
        <f aca="false">IF(AND(ISNUMBER(B8),B8&lt;=Resumen!$B$17),Resumen!$B$11,0)+IF(AND(ISNUMBER(C8),C8&lt;=Resumen!$B$17),Resumen!$B$12,0)</f>
        <v>200</v>
      </c>
      <c r="E8" s="15" t="n">
        <f aca="false">IF(AND(ISNUMBER(C8),C8&lt;=Resumen!$B$17),Resumen!$B$8,0)</f>
        <v>200</v>
      </c>
      <c r="F8" s="15" t="n">
        <f aca="false">IF(AND(ISNUMBER(B8),B8&lt;=Resumen!$B$17),Resumen!$B$13,0)+IF(AND(ISNUMBER(C8),C8&lt;=Resumen!$B$17),Resumen!$B$14,0)</f>
        <v>200</v>
      </c>
    </row>
    <row r="9" customFormat="false" ht="15" hidden="false" customHeight="true" outlineLevel="0" collapsed="false">
      <c r="A9" s="8" t="n">
        <v>3</v>
      </c>
      <c r="B9" s="11" t="n">
        <v>5</v>
      </c>
      <c r="C9" s="11" t="n">
        <v>8</v>
      </c>
      <c r="D9" s="15" t="n">
        <f aca="false">IF(AND(ISNUMBER(B9),B9&lt;=Resumen!$B$17),Resumen!$B$11,0)+IF(AND(ISNUMBER(C9),C9&lt;=Resumen!$B$17),Resumen!$B$12,0)</f>
        <v>200</v>
      </c>
      <c r="E9" s="15" t="n">
        <f aca="false">IF(AND(ISNUMBER(C9),C9&lt;=Resumen!$B$17),Resumen!$B$8,0)</f>
        <v>200</v>
      </c>
      <c r="F9" s="15" t="n">
        <f aca="false">IF(AND(ISNUMBER(B9),B9&lt;=Resumen!$B$17),Resumen!$B$13,0)+IF(AND(ISNUMBER(C9),C9&lt;=Resumen!$B$17),Resumen!$B$14,0)</f>
        <v>200</v>
      </c>
    </row>
    <row r="10" customFormat="false" ht="15" hidden="false" customHeight="true" outlineLevel="0" collapsed="false">
      <c r="A10" s="8" t="n">
        <v>4</v>
      </c>
      <c r="B10" s="11" t="n">
        <v>9</v>
      </c>
      <c r="C10" s="11"/>
      <c r="D10" s="15" t="n">
        <f aca="false">IF(AND(ISNUMBER(B10),B10&lt;=Resumen!$B$17),Resumen!$B$11,0)+IF(AND(ISNUMBER(C10),C10&lt;=Resumen!$B$17),Resumen!$B$12,0)</f>
        <v>100</v>
      </c>
      <c r="E10" s="15" t="n">
        <f aca="false">IF(AND(ISNUMBER(C10),C10&lt;=Resumen!$B$17),Resumen!$B$8,0)</f>
        <v>0</v>
      </c>
      <c r="F10" s="15" t="n">
        <f aca="false">IF(AND(ISNUMBER(B10),B10&lt;=Resumen!$B$17),Resumen!$B$13,0)+IF(AND(ISNUMBER(C10),C10&lt;=Resumen!$B$17),Resumen!$B$14,0)</f>
        <v>70</v>
      </c>
    </row>
    <row r="11" customFormat="false" ht="15" hidden="false" customHeight="true" outlineLevel="0" collapsed="false">
      <c r="A11" s="26" t="s">
        <v>53</v>
      </c>
      <c r="B11" s="27"/>
      <c r="C11" s="27"/>
      <c r="D11" s="28" t="n">
        <f aca="false">SUM(D7:D10)</f>
        <v>700</v>
      </c>
      <c r="E11" s="28" t="n">
        <f aca="false">SUM(E7:E10)</f>
        <v>600</v>
      </c>
      <c r="F11" s="28" t="n">
        <f aca="false">SUM(F7:F10)</f>
        <v>670</v>
      </c>
    </row>
    <row r="13" customFormat="false" ht="15" hidden="false" customHeight="true" outlineLevel="0" collapsed="false">
      <c r="A13" s="29" t="s">
        <v>54</v>
      </c>
      <c r="B13" s="23"/>
      <c r="C13" s="23"/>
      <c r="D13" s="25" t="n">
        <f aca="false">D11/(4/2)</f>
        <v>350</v>
      </c>
      <c r="E13" s="25" t="n">
        <f aca="false">E11/(4/2)</f>
        <v>300</v>
      </c>
      <c r="F13" s="25" t="n">
        <f aca="false">F11/(4/2)</f>
        <v>335</v>
      </c>
    </row>
    <row r="15" customFormat="false" ht="15" hidden="false" customHeight="true" outlineLevel="0" collapsed="false">
      <c r="A15" s="20" t="s">
        <v>55</v>
      </c>
      <c r="B15" s="20"/>
      <c r="C15" s="20"/>
      <c r="D15" s="20"/>
      <c r="E15" s="20"/>
      <c r="F15" s="20"/>
      <c r="G15" s="20"/>
      <c r="H15" s="20"/>
    </row>
  </sheetData>
  <mergeCells count="3">
    <mergeCell ref="A1:H1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6"/>
  </cols>
  <sheetData>
    <row r="1" customFormat="false" ht="27.75" hidden="false" customHeight="true" outlineLevel="0" collapsed="false">
      <c r="A1" s="2" t="s">
        <v>56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s">
        <v>2</v>
      </c>
      <c r="D3" s="5" t="s">
        <v>3</v>
      </c>
    </row>
    <row r="5" customFormat="false" ht="15" hidden="false" customHeight="true" outlineLevel="0" collapsed="false">
      <c r="A5" s="7" t="s">
        <v>57</v>
      </c>
      <c r="B5" s="7"/>
      <c r="C5" s="7"/>
      <c r="D5" s="7"/>
    </row>
    <row r="6" customFormat="false" ht="15" hidden="false" customHeight="true" outlineLevel="0" collapsed="false">
      <c r="A6" s="8" t="s">
        <v>58</v>
      </c>
      <c r="B6" s="10" t="n">
        <v>8</v>
      </c>
    </row>
    <row r="7" customFormat="false" ht="15" hidden="false" customHeight="true" outlineLevel="0" collapsed="false">
      <c r="A7" s="8" t="s">
        <v>59</v>
      </c>
      <c r="B7" s="10" t="n">
        <v>100</v>
      </c>
    </row>
    <row r="8" customFormat="false" ht="15" hidden="false" customHeight="true" outlineLevel="0" collapsed="false">
      <c r="A8" s="8" t="s">
        <v>60</v>
      </c>
      <c r="B8" s="9" t="n">
        <v>1130</v>
      </c>
    </row>
    <row r="9" customFormat="false" ht="15" hidden="false" customHeight="true" outlineLevel="0" collapsed="false">
      <c r="A9" s="8" t="s">
        <v>61</v>
      </c>
      <c r="B9" s="10" t="n">
        <v>26</v>
      </c>
    </row>
    <row r="10" customFormat="false" ht="15" hidden="false" customHeight="true" outlineLevel="0" collapsed="false">
      <c r="A10" s="8" t="s">
        <v>62</v>
      </c>
      <c r="B10" s="9" t="n">
        <v>2</v>
      </c>
    </row>
    <row r="11" customFormat="false" ht="15" hidden="false" customHeight="true" outlineLevel="0" collapsed="false">
      <c r="A11" s="8" t="s">
        <v>63</v>
      </c>
      <c r="B11" s="9" t="n">
        <v>120</v>
      </c>
    </row>
    <row r="12" customFormat="false" ht="15" hidden="false" customHeight="true" outlineLevel="0" collapsed="false">
      <c r="A12" s="8" t="s">
        <v>64</v>
      </c>
      <c r="B12" s="9" t="n">
        <v>150</v>
      </c>
    </row>
    <row r="13" customFormat="false" ht="15" hidden="false" customHeight="true" outlineLevel="0" collapsed="false">
      <c r="A13" s="8" t="s">
        <v>65</v>
      </c>
      <c r="B13" s="9" t="n">
        <v>160</v>
      </c>
    </row>
    <row r="14" customFormat="false" ht="15" hidden="false" customHeight="true" outlineLevel="0" collapsed="false">
      <c r="A14" s="8" t="s">
        <v>66</v>
      </c>
      <c r="B14" s="10" t="n">
        <v>5</v>
      </c>
    </row>
    <row r="15" customFormat="false" ht="15" hidden="false" customHeight="true" outlineLevel="0" collapsed="false">
      <c r="A15" s="8" t="s">
        <v>67</v>
      </c>
      <c r="B15" s="10" t="n">
        <v>26</v>
      </c>
    </row>
    <row r="17" customFormat="false" ht="15" hidden="false" customHeight="true" outlineLevel="0" collapsed="false">
      <c r="A17" s="7" t="s">
        <v>68</v>
      </c>
      <c r="B17" s="7"/>
      <c r="C17" s="7"/>
      <c r="D17" s="7"/>
    </row>
    <row r="18" customFormat="false" ht="15" hidden="false" customHeight="true" outlineLevel="0" collapsed="false">
      <c r="A18" s="23" t="s">
        <v>69</v>
      </c>
      <c r="B18" s="30" t="n">
        <f aca="false">B8/B9</f>
        <v>43.4615384615385</v>
      </c>
    </row>
    <row r="19" customFormat="false" ht="15" hidden="false" customHeight="true" outlineLevel="0" collapsed="false">
      <c r="A19" s="23" t="s">
        <v>70</v>
      </c>
      <c r="B19" s="31" t="n">
        <f aca="false">(B8/B9)/B10</f>
        <v>21.7307692307692</v>
      </c>
    </row>
    <row r="20" customFormat="false" ht="15" hidden="false" customHeight="true" outlineLevel="0" collapsed="false">
      <c r="A20" s="23" t="s">
        <v>71</v>
      </c>
      <c r="B20" s="31" t="n">
        <f aca="false">B19/8</f>
        <v>2.71634615384615</v>
      </c>
    </row>
    <row r="21" customFormat="false" ht="15" hidden="false" customHeight="true" outlineLevel="0" collapsed="false">
      <c r="A21" s="23" t="s">
        <v>72</v>
      </c>
      <c r="B21" s="32" t="n">
        <f aca="false">B7/B19</f>
        <v>4.60176991150443</v>
      </c>
    </row>
    <row r="23" customFormat="false" ht="15" hidden="false" customHeight="true" outlineLevel="0" collapsed="false">
      <c r="A23" s="7" t="s">
        <v>73</v>
      </c>
      <c r="B23" s="7"/>
      <c r="C23" s="7"/>
      <c r="D23" s="7"/>
    </row>
    <row r="24" customFormat="false" ht="15" hidden="false" customHeight="true" outlineLevel="0" collapsed="false">
      <c r="A24" s="12"/>
      <c r="B24" s="12" t="s">
        <v>74</v>
      </c>
      <c r="C24" s="12" t="s">
        <v>75</v>
      </c>
      <c r="D24" s="12" t="s">
        <v>76</v>
      </c>
    </row>
    <row r="25" customFormat="false" ht="15" hidden="false" customHeight="true" outlineLevel="0" collapsed="false">
      <c r="A25" s="8" t="s">
        <v>77</v>
      </c>
      <c r="B25" s="15" t="n">
        <f aca="false">B11</f>
        <v>120</v>
      </c>
      <c r="C25" s="15" t="n">
        <f aca="false">B12</f>
        <v>150</v>
      </c>
      <c r="D25" s="15" t="n">
        <f aca="false">B13</f>
        <v>160</v>
      </c>
    </row>
    <row r="26" customFormat="false" ht="15" hidden="false" customHeight="true" outlineLevel="0" collapsed="false">
      <c r="A26" s="13" t="s">
        <v>78</v>
      </c>
      <c r="B26" s="25" t="n">
        <f aca="false">B11*$B$14</f>
        <v>600</v>
      </c>
      <c r="C26" s="25" t="n">
        <f aca="false">B12*$B$14</f>
        <v>750</v>
      </c>
      <c r="D26" s="25" t="n">
        <f aca="false">B13*$B$14</f>
        <v>800</v>
      </c>
    </row>
    <row r="27" customFormat="false" ht="15" hidden="false" customHeight="true" outlineLevel="0" collapsed="false">
      <c r="A27" s="13" t="s">
        <v>79</v>
      </c>
      <c r="B27" s="25" t="n">
        <f aca="false">B11*$B$15</f>
        <v>3120</v>
      </c>
      <c r="C27" s="25" t="n">
        <f aca="false">B12*$B$15</f>
        <v>3900</v>
      </c>
      <c r="D27" s="25" t="n">
        <f aca="false">B13*$B$15</f>
        <v>4160</v>
      </c>
    </row>
    <row r="29" customFormat="false" ht="15" hidden="false" customHeight="true" outlineLevel="0" collapsed="false">
      <c r="A29" s="7" t="s">
        <v>80</v>
      </c>
      <c r="B29" s="7"/>
      <c r="C29" s="7"/>
      <c r="D29" s="7"/>
    </row>
    <row r="30" customFormat="false" ht="15" hidden="false" customHeight="true" outlineLevel="0" collapsed="false">
      <c r="A30" s="33" t="s">
        <v>81</v>
      </c>
      <c r="B30" s="33"/>
      <c r="C30" s="33"/>
      <c r="D30" s="33"/>
    </row>
    <row r="31" customFormat="false" ht="30" hidden="false" customHeight="true" outlineLevel="0" collapsed="false">
      <c r="A31" s="34" t="s">
        <v>82</v>
      </c>
      <c r="B31" s="34"/>
      <c r="C31" s="34"/>
      <c r="D31" s="34"/>
    </row>
    <row r="33" customFormat="false" ht="15" hidden="false" customHeight="true" outlineLevel="0" collapsed="false">
      <c r="A33" s="33" t="s">
        <v>83</v>
      </c>
      <c r="B33" s="33"/>
      <c r="C33" s="33"/>
      <c r="D33" s="33"/>
    </row>
    <row r="34" customFormat="false" ht="30" hidden="false" customHeight="true" outlineLevel="0" collapsed="false">
      <c r="A34" s="34" t="s">
        <v>84</v>
      </c>
      <c r="B34" s="34"/>
      <c r="C34" s="34"/>
      <c r="D34" s="34"/>
    </row>
    <row r="36" customFormat="false" ht="15" hidden="false" customHeight="true" outlineLevel="0" collapsed="false">
      <c r="A36" s="33" t="s">
        <v>85</v>
      </c>
      <c r="B36" s="33"/>
      <c r="C36" s="33"/>
      <c r="D36" s="33"/>
    </row>
    <row r="37" customFormat="false" ht="30" hidden="false" customHeight="true" outlineLevel="0" collapsed="false">
      <c r="A37" s="34" t="s">
        <v>86</v>
      </c>
      <c r="B37" s="34"/>
      <c r="C37" s="34"/>
      <c r="D37" s="34"/>
    </row>
    <row r="39" customFormat="false" ht="15" hidden="false" customHeight="true" outlineLevel="0" collapsed="false">
      <c r="A39" s="35" t="s">
        <v>87</v>
      </c>
      <c r="B39" s="35"/>
      <c r="C39" s="35"/>
      <c r="D39" s="35"/>
    </row>
    <row r="40" customFormat="false" ht="60" hidden="false" customHeight="true" outlineLevel="0" collapsed="false">
      <c r="A40" s="20" t="s">
        <v>88</v>
      </c>
      <c r="B40" s="20"/>
      <c r="C40" s="20"/>
      <c r="D40" s="20"/>
    </row>
  </sheetData>
  <mergeCells count="13">
    <mergeCell ref="A1:D1"/>
    <mergeCell ref="A5:D5"/>
    <mergeCell ref="A17:D17"/>
    <mergeCell ref="A23:D23"/>
    <mergeCell ref="A29:D29"/>
    <mergeCell ref="A30:D30"/>
    <mergeCell ref="A31:D31"/>
    <mergeCell ref="A33:D33"/>
    <mergeCell ref="A34:D34"/>
    <mergeCell ref="A36:D36"/>
    <mergeCell ref="A37:D37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"/>
  </cols>
  <sheetData>
    <row r="1" customFormat="false" ht="27.75" hidden="false" customHeight="true" outlineLevel="0" collapsed="false">
      <c r="A1" s="2" t="s">
        <v>89</v>
      </c>
      <c r="B1" s="2"/>
      <c r="C1" s="2"/>
      <c r="D1" s="2"/>
      <c r="E1" s="2"/>
    </row>
    <row r="3" customFormat="false" ht="15" hidden="false" customHeight="false" outlineLevel="0" collapsed="false">
      <c r="A3" s="36" t="s">
        <v>1</v>
      </c>
      <c r="B3" s="37" t="s">
        <v>2</v>
      </c>
      <c r="D3" s="38" t="s">
        <v>3</v>
      </c>
    </row>
    <row r="5" customFormat="false" ht="15" hidden="false" customHeight="false" outlineLevel="0" collapsed="false">
      <c r="A5" s="39" t="s">
        <v>90</v>
      </c>
      <c r="B5" s="39"/>
      <c r="C5" s="39"/>
      <c r="D5" s="39"/>
      <c r="E5" s="39"/>
    </row>
    <row r="6" customFormat="false" ht="15" hidden="false" customHeight="false" outlineLevel="0" collapsed="false">
      <c r="A6" s="12" t="s">
        <v>91</v>
      </c>
      <c r="B6" s="12" t="s">
        <v>92</v>
      </c>
      <c r="C6" s="12" t="s">
        <v>93</v>
      </c>
    </row>
    <row r="7" customFormat="false" ht="15" hidden="false" customHeight="false" outlineLevel="0" collapsed="false">
      <c r="A7" s="40" t="s">
        <v>94</v>
      </c>
      <c r="B7" s="40" t="s">
        <v>95</v>
      </c>
      <c r="C7" s="41" t="n">
        <v>50</v>
      </c>
    </row>
    <row r="8" customFormat="false" ht="15" hidden="false" customHeight="false" outlineLevel="0" collapsed="false">
      <c r="A8" s="40" t="s">
        <v>96</v>
      </c>
      <c r="B8" s="40" t="s">
        <v>97</v>
      </c>
      <c r="C8" s="41" t="n">
        <v>91</v>
      </c>
    </row>
    <row r="9" customFormat="false" ht="15" hidden="false" customHeight="false" outlineLevel="0" collapsed="false">
      <c r="A9" s="40" t="s">
        <v>98</v>
      </c>
      <c r="B9" s="40" t="s">
        <v>99</v>
      </c>
      <c r="C9" s="41" t="n">
        <v>31</v>
      </c>
    </row>
    <row r="10" customFormat="false" ht="15" hidden="false" customHeight="false" outlineLevel="0" collapsed="false">
      <c r="A10" s="40" t="s">
        <v>100</v>
      </c>
      <c r="B10" s="40" t="s">
        <v>101</v>
      </c>
      <c r="C10" s="41" t="n">
        <v>41</v>
      </c>
    </row>
    <row r="11" customFormat="false" ht="15" hidden="false" customHeight="false" outlineLevel="0" collapsed="false">
      <c r="A11" s="42" t="s">
        <v>102</v>
      </c>
      <c r="B11" s="43"/>
      <c r="C11" s="44" t="n">
        <f aca="false">AVERAGE(C7:C10)</f>
        <v>53.25</v>
      </c>
    </row>
    <row r="12" customFormat="false" ht="15" hidden="false" customHeight="false" outlineLevel="0" collapsed="false">
      <c r="A12" s="40" t="s">
        <v>103</v>
      </c>
      <c r="B12" s="43"/>
      <c r="C12" s="45" t="n">
        <f aca="false">MIN(C7:C10)</f>
        <v>31</v>
      </c>
    </row>
    <row r="13" customFormat="false" ht="15" hidden="false" customHeight="false" outlineLevel="0" collapsed="false">
      <c r="A13" s="40" t="s">
        <v>104</v>
      </c>
      <c r="B13" s="43"/>
      <c r="C13" s="45" t="n">
        <f aca="false">MAX(C7:C10)</f>
        <v>91</v>
      </c>
    </row>
    <row r="15" customFormat="false" ht="15" hidden="false" customHeight="false" outlineLevel="0" collapsed="false">
      <c r="A15" s="39" t="s">
        <v>105</v>
      </c>
      <c r="B15" s="39"/>
      <c r="C15" s="39"/>
      <c r="D15" s="39"/>
      <c r="E15" s="39"/>
    </row>
    <row r="16" customFormat="false" ht="15" hidden="false" customHeight="false" outlineLevel="0" collapsed="false">
      <c r="A16" s="12" t="s">
        <v>91</v>
      </c>
      <c r="B16" s="12" t="s">
        <v>92</v>
      </c>
      <c r="C16" s="12" t="s">
        <v>93</v>
      </c>
    </row>
    <row r="17" customFormat="false" ht="15" hidden="false" customHeight="false" outlineLevel="0" collapsed="false">
      <c r="A17" s="40" t="s">
        <v>94</v>
      </c>
      <c r="B17" s="40" t="s">
        <v>106</v>
      </c>
      <c r="C17" s="41" t="n">
        <v>45</v>
      </c>
    </row>
    <row r="18" customFormat="false" ht="15" hidden="false" customHeight="false" outlineLevel="0" collapsed="false">
      <c r="A18" s="40" t="s">
        <v>96</v>
      </c>
      <c r="B18" s="40" t="s">
        <v>107</v>
      </c>
      <c r="C18" s="41" t="n">
        <v>101</v>
      </c>
    </row>
    <row r="19" customFormat="false" ht="15" hidden="false" customHeight="false" outlineLevel="0" collapsed="false">
      <c r="A19" s="40" t="s">
        <v>98</v>
      </c>
      <c r="B19" s="40" t="s">
        <v>95</v>
      </c>
      <c r="C19" s="41" t="n">
        <v>57</v>
      </c>
    </row>
    <row r="20" customFormat="false" ht="15" hidden="false" customHeight="false" outlineLevel="0" collapsed="false">
      <c r="A20" s="40" t="s">
        <v>100</v>
      </c>
      <c r="B20" s="40" t="s">
        <v>97</v>
      </c>
      <c r="C20" s="41" t="n">
        <v>58</v>
      </c>
    </row>
    <row r="21" customFormat="false" ht="15" hidden="false" customHeight="false" outlineLevel="0" collapsed="false">
      <c r="A21" s="40" t="s">
        <v>108</v>
      </c>
      <c r="B21" s="40" t="s">
        <v>99</v>
      </c>
      <c r="C21" s="41" t="n">
        <v>108</v>
      </c>
    </row>
    <row r="22" customFormat="false" ht="15" hidden="false" customHeight="false" outlineLevel="0" collapsed="false">
      <c r="A22" s="42" t="s">
        <v>109</v>
      </c>
      <c r="B22" s="43"/>
      <c r="C22" s="44" t="n">
        <f aca="false">AVERAGE(C17:C21)</f>
        <v>73.8</v>
      </c>
    </row>
    <row r="24" customFormat="false" ht="15" hidden="false" customHeight="false" outlineLevel="0" collapsed="false">
      <c r="A24" s="39" t="s">
        <v>110</v>
      </c>
      <c r="B24" s="39"/>
      <c r="C24" s="39"/>
      <c r="D24" s="39"/>
      <c r="E24" s="39"/>
    </row>
    <row r="25" customFormat="false" ht="26.85" hidden="false" customHeight="false" outlineLevel="0" collapsed="false">
      <c r="A25" s="12" t="s">
        <v>47</v>
      </c>
      <c r="B25" s="12" t="s">
        <v>111</v>
      </c>
    </row>
    <row r="26" customFormat="false" ht="15" hidden="false" customHeight="false" outlineLevel="0" collapsed="false">
      <c r="A26" s="40" t="s">
        <v>112</v>
      </c>
      <c r="B26" s="41" t="n">
        <v>141</v>
      </c>
    </row>
    <row r="27" customFormat="false" ht="15" hidden="false" customHeight="false" outlineLevel="0" collapsed="false">
      <c r="A27" s="40" t="s">
        <v>113</v>
      </c>
      <c r="B27" s="41" t="n">
        <v>122</v>
      </c>
    </row>
    <row r="28" customFormat="false" ht="15" hidden="false" customHeight="false" outlineLevel="0" collapsed="false">
      <c r="A28" s="40" t="s">
        <v>114</v>
      </c>
      <c r="B28" s="41" t="n">
        <v>72</v>
      </c>
    </row>
    <row r="29" customFormat="false" ht="15" hidden="false" customHeight="false" outlineLevel="0" collapsed="false">
      <c r="A29" s="42" t="s">
        <v>115</v>
      </c>
      <c r="B29" s="45" t="n">
        <f aca="false">MIN(B26:B28)</f>
        <v>72</v>
      </c>
      <c r="C29" s="45" t="n">
        <f aca="false">MAX(B26:B28)</f>
        <v>141</v>
      </c>
    </row>
    <row r="31" customFormat="false" ht="15" hidden="false" customHeight="false" outlineLevel="0" collapsed="false">
      <c r="A31" s="39" t="s">
        <v>116</v>
      </c>
      <c r="B31" s="39"/>
      <c r="C31" s="39"/>
      <c r="D31" s="39"/>
      <c r="E31" s="39"/>
    </row>
    <row r="32" customFormat="false" ht="15" hidden="false" customHeight="false" outlineLevel="0" collapsed="false">
      <c r="A32" s="43" t="s">
        <v>117</v>
      </c>
      <c r="B32" s="46" t="n">
        <v>4.33</v>
      </c>
    </row>
    <row r="33" customFormat="false" ht="15" hidden="false" customHeight="false" outlineLevel="0" collapsed="false">
      <c r="A33" s="43" t="s">
        <v>118</v>
      </c>
      <c r="B33" s="45" t="n">
        <f aca="false">C12*B32</f>
        <v>134.23</v>
      </c>
    </row>
    <row r="34" customFormat="false" ht="15" hidden="false" customHeight="false" outlineLevel="0" collapsed="false">
      <c r="A34" s="43" t="s">
        <v>119</v>
      </c>
      <c r="B34" s="45" t="n">
        <f aca="false">C13*B32</f>
        <v>394.03</v>
      </c>
    </row>
    <row r="35" customFormat="false" ht="15" hidden="false" customHeight="false" outlineLevel="0" collapsed="false">
      <c r="A35" s="43" t="s">
        <v>120</v>
      </c>
      <c r="B35" s="45" t="n">
        <f aca="false">C12*B32*2</f>
        <v>268.46</v>
      </c>
    </row>
    <row r="36" customFormat="false" ht="15" hidden="false" customHeight="false" outlineLevel="0" collapsed="false">
      <c r="A36" s="43" t="s">
        <v>121</v>
      </c>
      <c r="B36" s="45" t="n">
        <f aca="false">C13*B32*2</f>
        <v>788.06</v>
      </c>
    </row>
    <row r="38" customFormat="false" ht="15" hidden="false" customHeight="false" outlineLevel="0" collapsed="false">
      <c r="A38" s="39" t="s">
        <v>122</v>
      </c>
      <c r="B38" s="39"/>
      <c r="C38" s="39"/>
      <c r="D38" s="39"/>
      <c r="E38" s="39"/>
    </row>
    <row r="39" customFormat="false" ht="15" hidden="false" customHeight="false" outlineLevel="0" collapsed="false">
      <c r="A39" s="43" t="s">
        <v>123</v>
      </c>
      <c r="B39" s="41" t="n">
        <v>500</v>
      </c>
    </row>
    <row r="40" customFormat="false" ht="15" hidden="false" customHeight="false" outlineLevel="0" collapsed="false">
      <c r="A40" s="43" t="s">
        <v>124</v>
      </c>
      <c r="B40" s="47" t="s">
        <v>125</v>
      </c>
    </row>
    <row r="41" customFormat="false" ht="15" hidden="false" customHeight="false" outlineLevel="0" collapsed="false">
      <c r="A41" s="43" t="s">
        <v>126</v>
      </c>
      <c r="B41" s="48" t="n">
        <v>200</v>
      </c>
    </row>
    <row r="43" customFormat="false" ht="15" hidden="false" customHeight="false" outlineLevel="0" collapsed="false">
      <c r="A43" s="39" t="s">
        <v>127</v>
      </c>
      <c r="B43" s="39"/>
      <c r="C43" s="39"/>
      <c r="D43" s="39"/>
      <c r="E43" s="39"/>
    </row>
    <row r="44" customFormat="false" ht="15" hidden="false" customHeight="false" outlineLevel="0" collapsed="false">
      <c r="A44" s="43" t="s">
        <v>128</v>
      </c>
      <c r="B44" s="45" t="n">
        <f aca="false">IF(B40="Semana",C12,IF(B40="Quincena",B29,IF(B40="Mes",B33,B35)))</f>
        <v>134.23</v>
      </c>
    </row>
    <row r="45" customFormat="false" ht="15" hidden="false" customHeight="false" outlineLevel="0" collapsed="false">
      <c r="A45" s="43" t="s">
        <v>129</v>
      </c>
      <c r="B45" s="45" t="n">
        <f aca="false">IF(B40="Semana",C13,IF(B40="Quincena",C29,IF(B40="Mes",B34,B36)))</f>
        <v>394.03</v>
      </c>
    </row>
    <row r="46" customFormat="false" ht="15" hidden="false" customHeight="false" outlineLevel="0" collapsed="false">
      <c r="A46" s="43" t="s">
        <v>130</v>
      </c>
      <c r="B46" s="49" t="str">
        <f aca="false">IF(B39&lt;=B45,"Dentro de lo ya logrado",IF(B39&lt;=B45*1.3,"Exigente, cerca de su mejor marca","Muy por encima de lo demostrado"))</f>
        <v>Exigente, cerca de su mejor marca</v>
      </c>
    </row>
    <row r="47" customFormat="false" ht="15" hidden="false" customHeight="false" outlineLevel="0" collapsed="false">
      <c r="A47" s="43" t="s">
        <v>131</v>
      </c>
      <c r="B47" s="44" t="n">
        <f aca="false">IF(B40="Semana",30/7,IF(B40="Quincena",30/15,IF(B40="Mes",1,0.5)))</f>
        <v>1</v>
      </c>
    </row>
    <row r="48" customFormat="false" ht="15" hidden="false" customHeight="false" outlineLevel="0" collapsed="false">
      <c r="A48" s="43" t="s">
        <v>132</v>
      </c>
      <c r="B48" s="50" t="n">
        <f aca="false">B41*B47</f>
        <v>200</v>
      </c>
    </row>
    <row r="50" customFormat="false" ht="54.75" hidden="false" customHeight="true" outlineLevel="0" collapsed="false">
      <c r="A50" s="51" t="s">
        <v>133</v>
      </c>
      <c r="B50" s="51"/>
      <c r="C50" s="51"/>
      <c r="D50" s="51"/>
      <c r="E50" s="51"/>
    </row>
  </sheetData>
  <mergeCells count="8">
    <mergeCell ref="A1:E1"/>
    <mergeCell ref="A5:E5"/>
    <mergeCell ref="A15:E15"/>
    <mergeCell ref="A24:E24"/>
    <mergeCell ref="A31:E31"/>
    <mergeCell ref="A38:E38"/>
    <mergeCell ref="A43:E43"/>
    <mergeCell ref="A50:E50"/>
  </mergeCells>
  <dataValidations count="1">
    <dataValidation allowBlank="false" errorStyle="stop" operator="between" showDropDown="false" showErrorMessage="false" showInputMessage="false" sqref="B40" type="list">
      <formula1>"Semana,Quincena,Mes,Dos meses"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2026-09-21T16:12:18Z</dcterms:created>
  <dc:creator>openpyxl</dc:creator>
  <dc:description/>
  <dc:language>en-US</dc:language>
  <cp:lastModifiedBy/>
  <dcterms:modified xsi:type="dcterms:W3CDTF">2026-10-02T01:33:35Z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